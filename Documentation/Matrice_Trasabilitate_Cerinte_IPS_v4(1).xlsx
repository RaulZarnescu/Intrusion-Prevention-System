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1" activeTab="1" autoFilterDateGrouping="1"/>
  </bookViews>
  <sheets>
    <sheet xmlns:r="http://schemas.openxmlformats.org/officeDocument/2006/relationships" name="Cerințe Client" sheetId="1" state="visible" r:id="rId1"/>
    <sheet xmlns:r="http://schemas.openxmlformats.org/officeDocument/2006/relationships" name="Cerințe Interne" sheetId="2" state="visible" r:id="rId2"/>
  </sheets>
  <definedNames/>
  <calcPr calcId="191028"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color rgb="FFFFFFFF"/>
      <sz val="10"/>
    </font>
    <font>
      <name val="Arial"/>
      <charset val="1"/>
      <b val="1"/>
      <sz val="10"/>
    </font>
    <font>
      <name val="Arial"/>
      <charset val="1"/>
      <sz val="10"/>
    </font>
    <font>
      <name val="Arial"/>
      <charset val="1"/>
      <color theme="1"/>
      <sz val="10"/>
    </font>
    <font>
      <name val="Arial"/>
      <b val="1"/>
      <color rgb="FFFFFFFF"/>
      <sz val="10"/>
    </font>
  </fonts>
  <fills count="3">
    <fill>
      <patternFill/>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4" fillId="0" borderId="0" applyAlignment="1" pivotButton="0" quotePrefix="0" xfId="0">
      <alignment wrapText="1"/>
    </xf>
    <xf numFmtId="0" fontId="0" fillId="0" borderId="0" pivotButton="0" quotePrefix="0" xfId="0"/>
    <xf numFmtId="0" fontId="4" fillId="0" borderId="0" pivotButton="0" quotePrefix="0" xfId="0"/>
    <xf numFmtId="0" fontId="3" fillId="0" borderId="1" applyAlignment="1" pivotButton="0" quotePrefix="0" xfId="0">
      <alignment horizontal="center" vertical="top"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xf>
    <xf numFmtId="0" fontId="5" fillId="2" borderId="1"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cellStyles>
  <dxfs count="18">
    <dxf>
      <alignment horizontal="left"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name val="Arial"/>
        <charset val="1"/>
        <strike val="0"/>
        <outline val="0"/>
        <shadow val="0"/>
        <condense val="0"/>
        <color auto="1"/>
        <extend val="0"/>
        <sz val="10"/>
        <vertAlign val="baseline"/>
      </font>
      <alignment horizontal="left" vertical="center" wrapText="1"/>
    </dxf>
    <dxf>
      <alignment horizontal="center" vertical="center" wrapText="1"/>
    </dxf>
    <dxf>
      <font>
        <name val="Arial"/>
        <charset val="1"/>
        <b val="1"/>
        <strike val="0"/>
        <outline val="0"/>
        <shadow val="0"/>
        <condense val="0"/>
        <color auto="1"/>
        <extend val="0"/>
        <sz val="10"/>
        <vertAlign val="baseline"/>
      </font>
      <alignment horizontal="center" vertical="center" wrapText="1"/>
    </dxf>
    <dxf>
      <alignment horizontal="center" vertical="center" wrapText="1"/>
    </dxf>
    <dxf>
      <alignment horizontal="center" vertical="center" wrapText="1"/>
    </dxf>
    <dxf>
      <alignment horizontal="center" vertical="center"/>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elCerinteClient" displayName="TabelCerinteClient" ref="A1:D19" headerRowCount="1" totalsRowShown="0">
  <autoFilter ref="A1:D19"/>
  <tableColumns count="4">
    <tableColumn id="1" name="ID"/>
    <tableColumn id="2" name="Cerință de Client"/>
    <tableColumn id="3" name="Justificare / Sursă"/>
    <tableColumn id="4" name="Nr. Cerințe Interne Asociate"/>
  </tableColumns>
  <tableStyleInfo showFirstColumn="0" showLastColumn="0" showRowStripes="1" showColumnStripes="0"/>
</table>
</file>

<file path=xl/tables/table2.xml><?xml version="1.0" encoding="utf-8"?>
<table xmlns="http://schemas.openxmlformats.org/spreadsheetml/2006/main" id="2" name="TabelCerinteInterne" displayName="TabelCerinteInterne" ref="A1:J65" headerRowCount="1" totalsRowShown="0" headerRowDxfId="11" dataDxfId="10">
  <autoFilter ref="A1:J65"/>
  <tableColumns count="10">
    <tableColumn id="1" name="Tag (folosit în cod)" dataDxfId="9"/>
    <tableColumn id="5" name="Componentă" dataDxfId="8"/>
    <tableColumn id="3" name="Cerință Client_x000a_Asociată" dataDxfId="7"/>
    <tableColumn id="2" name="Cerință Internă (Task)" dataDxfId="6"/>
    <tableColumn id="4" name="Secțiune Caiet_x000a_de Sarcini" dataDxfId="5"/>
    <tableColumn id="6" name="Prioritate" dataDxfId="4"/>
    <tableColumn id="7" name="Verificare (Cap. 10 / alt)" dataDxfId="3"/>
    <tableColumn id="8" name="Status" dataDxfId="2"/>
    <tableColumn id="9" name="Person" dataDxfId="1"/>
    <tableColumn id="10" name="Co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pane ySplit="1" topLeftCell="A2" activePane="bottomLeft" state="frozen"/>
      <selection pane="bottomLeft" activeCell="A3" sqref="A3"/>
    </sheetView>
  </sheetViews>
  <sheetFormatPr baseColWidth="8" defaultColWidth="8.7109375" defaultRowHeight="15"/>
  <cols>
    <col width="8" customWidth="1" style="5" min="1" max="1"/>
    <col width="60" customWidth="1" style="5" min="2" max="2"/>
    <col width="45" customWidth="1" style="5" min="3" max="3"/>
    <col width="18" customWidth="1" style="5" min="4" max="4"/>
  </cols>
  <sheetData>
    <row r="1" ht="19.5" customHeight="1" s="5">
      <c r="A1" s="1" t="inlineStr">
        <is>
          <t>ID</t>
        </is>
      </c>
      <c r="B1" s="1" t="inlineStr">
        <is>
          <t>Cerință de Client</t>
        </is>
      </c>
      <c r="C1" s="1" t="inlineStr">
        <is>
          <t>Justificare / Sursă</t>
        </is>
      </c>
      <c r="D1" s="1" t="inlineStr">
        <is>
          <t>Nr. Cerințe Interne Asociate</t>
        </is>
      </c>
    </row>
    <row r="2" ht="42.75" customHeight="1" s="5">
      <c r="A2" s="2" t="inlineStr">
        <is>
          <t>CR-01</t>
        </is>
      </c>
      <c r="B2" s="3" t="inlineStr">
        <is>
          <t>Sistemul trebuie să inspecteze tot traficul de rețea care tranzitează rețeaua locală, în timp real, ca dispozitiv transparent (nedetectabil ca nod separat de rutare).</t>
        </is>
      </c>
      <c r="C2" s="3" t="inlineStr">
        <is>
          <t>Sumar — topologie Gateway → Pi (bridge) → Ruter 2, fără tabelă de rutare activă</t>
        </is>
      </c>
      <c r="D2" s="7">
        <f>COUNTIF('Cerințe Interne'!$C$2:$C$68,"*"&amp;A2&amp;"*")</f>
        <v/>
      </c>
    </row>
    <row r="3" ht="68.25" customHeight="1" s="5">
      <c r="A3" s="2" t="inlineStr">
        <is>
          <t>CR-02</t>
        </is>
      </c>
      <c r="B3" s="3" t="inlineStr">
        <is>
          <t>Sistemul trebuie să blocheze automat traficul malițios cunoscut (atacuri volumetrice, IP-uri din blocklist), cu o degradare de performanță limitată și documentată pentru traficul legitim — nu neapărat nulă. Viteza de linie completă ("line-rate") nu e un obiectiv realist dat fiind hardware-ul disponibil.</t>
        </is>
      </c>
      <c r="C3" s="3" t="inlineStr">
        <is>
          <t>Fast-Path (Cap. 3.1); prag realist validat experimental (10.4)</t>
        </is>
      </c>
      <c r="D3" s="7">
        <f>COUNTIF('Cerințe Interne'!$C$2:$C$68,"*"&amp;A3&amp;"*")</f>
        <v/>
      </c>
    </row>
    <row r="4" ht="68.25" customHeight="1" s="5">
      <c r="A4" s="2" t="inlineStr">
        <is>
          <t>CR-03</t>
        </is>
      </c>
      <c r="B4" s="3" t="inlineStr">
        <is>
          <t>Sistemul trebuie să investigheze, la nivelul stației OoB (nu pe Raspberry Pi), traficul marcat ca suspect dar neconcludent la Layer 7, fără a decripta traficul utilizatorilor. În stadiul curent, investigarea se face prin scripturi de analiză (reguli/euristici); integrarea unui motor AI/ML pentru detecție automată rămâne o posibilitate pentru o etapă viitoare, nu o cerință curentă.</t>
        </is>
      </c>
      <c r="C4" s="3" t="inlineStr">
        <is>
          <t>Arhitectură revizuită: Pi = strict filtru + bridge; analiza Layer 7 mutată pe OoB; AI la stadiu experimental</t>
        </is>
      </c>
      <c r="D4" s="7">
        <f>COUNTIF('Cerințe Interne'!$C$2:$C$68,"*"&amp;A4&amp;"*")</f>
        <v/>
      </c>
    </row>
    <row r="5" ht="57" customHeight="1" s="5">
      <c r="A5" s="2" t="inlineStr">
        <is>
          <t>CR-04</t>
        </is>
      </c>
      <c r="B5" s="3" t="inlineStr">
        <is>
          <t>Sistemul trebuie să implementeze mecanisme de apărare activă (tarpitting, DNS sinkholing, decepție) exclusiv la nivelul stației OoB. Raspberry Pi are rol strict de filtru Layer 3/4 și bridge transparent — doar redirecționează traficul confirmat ca fiind al unui atacator către Honeypot, fără a-l manipula activ el însuși.</t>
        </is>
      </c>
      <c r="C5" s="3" t="inlineStr">
        <is>
          <t>Arhitectură revizuită: separare strictă Pi (filtru/bridge) vs. OoB (apărare activă)</t>
        </is>
      </c>
      <c r="D5" s="7">
        <f>COUNTIF('Cerințe Interne'!$C$2:$C$68,"*"&amp;A5&amp;"*")</f>
        <v/>
      </c>
    </row>
    <row r="6" ht="57" customHeight="1" s="5">
      <c r="A6" s="2" t="inlineStr">
        <is>
          <t>CR-05</t>
        </is>
      </c>
      <c r="B6" s="3" t="inlineStr">
        <is>
          <t>Sistemul trebuie să genereze rapoarte despre atacatori (structură standardizată, cu posibilitate de încadrare MITRE ATT&amp;CK), produse în stadiul curent prin scripturi de analiză pe OoB, cu posibilitatea de upgrade la un motor LLM local ca etapă viitoare — nu cu garanția absolută a „zero halucinații”, obiectiv nerealist pentru orice sistem LLM.</t>
        </is>
      </c>
      <c r="C6" s="3" t="inlineStr">
        <is>
          <t>Profilare curentă prin scripturi; AI/LLM rămâne posibilitate viitoare</t>
        </is>
      </c>
      <c r="D6" s="7">
        <f>COUNTIF('Cerințe Interne'!$C$2:$C$68,"*"&amp;A6&amp;"*")</f>
        <v/>
      </c>
    </row>
    <row r="7" ht="45.75" customHeight="1" s="5">
      <c r="A7" s="2" t="inlineStr">
        <is>
          <t>CR-06</t>
        </is>
      </c>
      <c r="B7" s="3" t="inlineStr">
        <is>
          <t>Sistemul trebuie să rămână funcțional (fail-open) sau să se auto-repare în cazul unei defecțiuni software/hardware, minimizând indisponibilitatea internetului — cu excepția pierderii totale de curent sau a absenței bypass-ului hardware, documentate explicit ca limitări neacoperite.</t>
        </is>
      </c>
      <c r="C7" s="3" t="inlineStr">
        <is>
          <t>Cap. 7.3 — Single Point of Failure</t>
        </is>
      </c>
      <c r="D7" s="7">
        <f>COUNTIF('Cerințe Interne'!$C$2:$C$68,"*"&amp;A7&amp;"*")</f>
        <v/>
      </c>
    </row>
    <row r="8" ht="23.25" customHeight="1" s="5">
      <c r="A8" s="2" t="inlineStr">
        <is>
          <t>CR-07</t>
        </is>
      </c>
      <c r="B8" s="3" t="inlineStr">
        <is>
          <t>Sistemul trebuie să reziste la opriri neașteptate de curent fără corupere a sistemului de operare sau nevoie de reinstalare manuală.</t>
        </is>
      </c>
      <c r="C8" s="3" t="inlineStr">
        <is>
          <t>Cap. 8 — Fiabilitate și Reziliență Hardware</t>
        </is>
      </c>
      <c r="D8" s="7">
        <f>COUNTIF('Cerințe Interne'!$C$2:$C$68,"*"&amp;A8&amp;"*")</f>
        <v/>
      </c>
    </row>
    <row r="9" ht="23.25" customHeight="1" s="5">
      <c r="A9" s="2" t="inlineStr">
        <is>
          <t>CR-08</t>
        </is>
      </c>
      <c r="B9" s="3" t="inlineStr">
        <is>
          <t>Sistemul trebuie construit folosind exclusiv componente hardware accesibile, cu costuri, surse și riscuri de compatibilitate documentate.</t>
        </is>
      </c>
      <c r="C9" s="3" t="inlineStr">
        <is>
          <t>Cap. 9 — Resurse Hardware (BOM)</t>
        </is>
      </c>
      <c r="D9" s="7">
        <f>COUNTIF('Cerințe Interne'!$C$2:$C$68,"*"&amp;A9&amp;"*")</f>
        <v/>
      </c>
    </row>
    <row r="10" ht="23.25" customHeight="1" s="5">
      <c r="A10" s="2" t="inlineStr">
        <is>
          <t>CR-09</t>
        </is>
      </c>
      <c r="B10" s="3" t="inlineStr">
        <is>
          <t>Sistemul trebuie să poată fi actualizat (software) în siguranță, fără a risca blocarea completă a dispozitivului la o actualizare eșuată.</t>
        </is>
      </c>
      <c r="C10" s="3" t="inlineStr">
        <is>
          <t>Cap. 8.3 — Strategia OTA</t>
        </is>
      </c>
      <c r="D10" s="7">
        <f>COUNTIF('Cerințe Interne'!$C$2:$C$68,"*"&amp;A10&amp;"*")</f>
        <v/>
      </c>
    </row>
    <row r="11" ht="23.25" customHeight="1" s="5">
      <c r="A11" s="2" t="inlineStr">
        <is>
          <t>CR-10</t>
        </is>
      </c>
      <c r="B11" s="3" t="inlineStr">
        <is>
          <t>Sistemul trebuie testat și validat printr-un set de scenarii de atac reale, cu metrici de performanță și acuratețe clar definite și realiste.</t>
        </is>
      </c>
      <c r="C11" s="3" t="inlineStr">
        <is>
          <t>Cap. 10 — Metodologia de Testare</t>
        </is>
      </c>
      <c r="D11" s="7">
        <f>COUNTIF('Cerințe Interne'!$C$2:$C$68,"*"&amp;A11&amp;"*")</f>
        <v/>
      </c>
    </row>
    <row r="12" ht="34.5" customHeight="1" s="5">
      <c r="A12" s="2" t="inlineStr">
        <is>
          <t>CR-11</t>
        </is>
      </c>
      <c r="B12" s="3" t="inlineStr">
        <is>
          <t>Sistemul trebuie să documenteze deschis limitările sale cunoscute (blind spots arhitecturale), astfel încât utilizatorii/evaluatorii să înțeleagă exact ce riscuri rămân neacoperite de soluție.</t>
        </is>
      </c>
      <c r="C12" s="3" t="inlineStr">
        <is>
          <t>Cap. 7 — formalizat ca cerință de transparență</t>
        </is>
      </c>
      <c r="D12" s="7">
        <f>COUNTIF('Cerințe Interne'!$C$2:$C$68,"*"&amp;A12&amp;"*")</f>
        <v/>
      </c>
    </row>
    <row r="13" ht="34.5" customHeight="1" s="5">
      <c r="A13" s="2" t="inlineStr">
        <is>
          <t>CR-12</t>
        </is>
      </c>
      <c r="B13" s="3" t="inlineStr">
        <is>
          <t>Sistemul trebuie să ofere un mecanism vizibil de monitorizare a stării sale (loguri, alerte, eventual dashboard minimal) pentru audit uman, fără a necesita acces SSH constant la dispozitiv.</t>
        </is>
      </c>
      <c r="C13" s="3" t="inlineStr">
        <is>
          <t>Derivat din rapoartele de profilare (OoB) și logurile persistente (Cap. 8)</t>
        </is>
      </c>
      <c r="D13" s="7">
        <f>COUNTIF('Cerințe Interne'!$C$2:$C$68,"*"&amp;A13&amp;"*")</f>
        <v/>
      </c>
    </row>
    <row r="14" ht="34.5" customHeight="1" s="5">
      <c r="A14" s="2" t="inlineStr">
        <is>
          <t>CR-13</t>
        </is>
      </c>
      <c r="B14" s="3" t="inlineStr">
        <is>
          <t>Sistemul trebuie să respecte un buget clar de resurse hardware (CPU/RAM/stocare), validat experimental și documentat, mai degrabă decât o promisiune abstractă de performanță nelimitată.</t>
        </is>
      </c>
      <c r="C14" s="3" t="inlineStr">
        <is>
          <t>Derivat din 10.4 (KPIs)</t>
        </is>
      </c>
      <c r="D14" s="7">
        <f>COUNTIF('Cerințe Interne'!$C$2:$C$68,"*"&amp;A14&amp;"*")</f>
        <v/>
      </c>
    </row>
    <row r="15" ht="45.75" customHeight="1" s="5">
      <c r="A15" s="2" t="inlineStr">
        <is>
          <t>CR-14</t>
        </is>
      </c>
      <c r="B15" s="3" t="inlineStr">
        <is>
          <t>Sistemul trebuie să permită unui operator uman să dezactiveze manual, complet, toate mecanismele de inspecție/decepție (bypass manual), independent de mecanismele automate de Fail-Open, ca opțiune de ultimă instanță.</t>
        </is>
      </c>
      <c r="C15" s="3" t="inlineStr">
        <is>
          <t>Derivat din 7.3 (Fail-Open automat, dar fără control manual explicit)</t>
        </is>
      </c>
      <c r="D15" s="7">
        <f>COUNTIF('Cerințe Interne'!$C$2:$C$68,"*"&amp;A15&amp;"*")</f>
        <v/>
      </c>
    </row>
    <row r="16" ht="60" customHeight="1" s="5">
      <c r="A16" s="2" t="inlineStr">
        <is>
          <t>CR-15</t>
        </is>
      </c>
      <c r="B16" s="3" t="inlineStr">
        <is>
          <t>Sistemul trebuie să separe strict responsabilitățile arhitecturale: Raspberry Pi execută exclusiv filtrare Layer 3/4 (Fast-Path) și bridging transparent, redirecționând traficul confirmat ca fiind al unui atacator către Honeypot; toată logica de investigare Layer 7, apărare activă și profilare rulează pe stația OoB.</t>
        </is>
      </c>
      <c r="C16" s="3" t="inlineStr">
        <is>
          <t>Principiu arhitectural nou, stabilit de echipă</t>
        </is>
      </c>
      <c r="D16" s="7">
        <f>COUNTIF('Cerințe Interne'!$C$2:$C$68,"*"&amp;A16&amp;"*")</f>
        <v/>
      </c>
    </row>
    <row r="17" ht="24" customHeight="1" s="5">
      <c r="A17" s="2" t="inlineStr">
        <is>
          <t>CR-16</t>
        </is>
      </c>
      <c r="B17" s="4" t="inlineStr">
        <is>
          <t>Sistemul trebuie sa prezinte un dashboard pentru monitorizarea traficului</t>
        </is>
      </c>
      <c r="C17" s="3" t="inlineStr">
        <is>
          <t>Principiu arhitectural nou, stabilit de echipă</t>
        </is>
      </c>
      <c r="D17">
        <f>COUNTIF('Cerințe Interne'!$C$2:$C$68,"*"&amp;A17&amp;"*")</f>
        <v/>
      </c>
    </row>
    <row r="18">
      <c r="A18" s="2" t="inlineStr">
        <is>
          <t>CR-17</t>
        </is>
      </c>
      <c r="B18" s="6" t="inlineStr">
        <is>
          <t>Sistemul va avea un algoritm de logging</t>
        </is>
      </c>
      <c r="C18" s="3" t="inlineStr">
        <is>
          <t>Principiu arhitectural nou, stabilit de echipă</t>
        </is>
      </c>
      <c r="D18">
        <f>COUNTIF('Cerințe Interne'!$C$2:$C$68,"*"&amp;A18&amp;"*")</f>
        <v/>
      </c>
    </row>
    <row r="19">
      <c r="A19" s="2" t="inlineStr">
        <is>
          <t>CR-18</t>
        </is>
      </c>
      <c r="B19" s="6" t="inlineStr">
        <is>
          <t>Se va dezvolta un SIEM / para-SIEM</t>
        </is>
      </c>
      <c r="C19" s="3" t="inlineStr">
        <is>
          <t>Principiu arhitectural nou, stabilit de echipă</t>
        </is>
      </c>
      <c r="D19">
        <f>COUNTIF('Cerințe Interne'!$C$2:$C$68,"*"&amp;A19&amp;"*")</f>
        <v/>
      </c>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77"/>
  <sheetViews>
    <sheetView tabSelected="1" zoomScaleNormal="100" workbookViewId="0">
      <pane ySplit="1" topLeftCell="A48" activePane="bottomLeft" state="frozen"/>
      <selection pane="bottomLeft" activeCell="D57" sqref="D57"/>
    </sheetView>
  </sheetViews>
  <sheetFormatPr baseColWidth="8" defaultColWidth="8.7109375" defaultRowHeight="15"/>
  <cols>
    <col width="16" customWidth="1" style="9" min="1" max="1"/>
    <col width="20" customWidth="1" style="9" min="2" max="2"/>
    <col width="14" customWidth="1" style="9" min="3" max="3"/>
    <col width="55" customWidth="1" style="18" min="4" max="4"/>
    <col width="16" customWidth="1" style="9" min="5" max="5"/>
    <col width="11" customWidth="1" style="9" min="6" max="6"/>
    <col width="20" customWidth="1" style="9" min="7" max="7"/>
    <col width="12" customWidth="1" style="9" min="8" max="8"/>
    <col width="9.140625" bestFit="1" customWidth="1" style="9" min="9" max="9"/>
    <col width="113.5703125" customWidth="1" style="18" min="10" max="10"/>
    <col width="8.7109375" customWidth="1" style="9" min="11" max="16384"/>
  </cols>
  <sheetData>
    <row r="1" ht="24" customHeight="1" s="5">
      <c r="A1" s="12" t="inlineStr">
        <is>
          <t>Tag (folosit în cod)</t>
        </is>
      </c>
      <c r="B1" s="12" t="inlineStr">
        <is>
          <t>Componentă</t>
        </is>
      </c>
      <c r="C1" s="12" t="inlineStr">
        <is>
          <t>Cerință Client
Asociată</t>
        </is>
      </c>
      <c r="D1" s="14" t="inlineStr">
        <is>
          <t>Cerință Internă (Task)</t>
        </is>
      </c>
      <c r="E1" s="12" t="inlineStr">
        <is>
          <t>Secțiune Caiet
de Sarcini</t>
        </is>
      </c>
      <c r="F1" s="12" t="inlineStr">
        <is>
          <t>Prioritate</t>
        </is>
      </c>
      <c r="G1" s="12" t="inlineStr">
        <is>
          <t>Verificare (Cap. 10 / alt)</t>
        </is>
      </c>
      <c r="H1" s="12" t="inlineStr">
        <is>
          <t>Status</t>
        </is>
      </c>
      <c r="I1" s="12" t="inlineStr">
        <is>
          <t>Person</t>
        </is>
      </c>
      <c r="J1" s="19" t="inlineStr">
        <is>
          <t>Coments</t>
        </is>
      </c>
    </row>
    <row r="2" ht="36" customHeight="1" s="5">
      <c r="A2" s="13" t="inlineStr">
        <is>
          <t>#REQ-001</t>
        </is>
      </c>
      <c r="B2" s="11" t="inlineStr">
        <is>
          <t>Pi — Fast-Path/Bridge</t>
        </is>
      </c>
      <c r="C2" s="11" t="inlineStr">
        <is>
          <t>CR-01</t>
        </is>
      </c>
      <c r="D2" s="15" t="inlineStr">
        <is>
          <t>Configurare Raspberry Pi ca Transparent Layer 2 Bridge (br0) între eth0 și eth1, fără tabelă de rutare activă pentru traficul de tranzit.</t>
        </is>
      </c>
      <c r="E2" s="11" t="inlineStr">
        <is>
          <t>2.1</t>
        </is>
      </c>
      <c r="F2" s="11" t="inlineStr">
        <is>
          <t>Must</t>
        </is>
      </c>
      <c r="G2" s="11" t="inlineStr">
        <is>
          <t>Code Review + 10.1</t>
        </is>
      </c>
      <c r="H2" s="11" t="inlineStr">
        <is>
          <t>unstarted</t>
        </is>
      </c>
      <c r="I2" s="8" t="n"/>
      <c r="J2" s="20" t="n"/>
    </row>
    <row r="3" ht="48" customHeight="1" s="5">
      <c r="A3" s="13" t="inlineStr">
        <is>
          <t>#REQ-002</t>
        </is>
      </c>
      <c r="B3" s="11" t="inlineStr">
        <is>
          <t>Pi — Fast-Path/Bridge</t>
        </is>
      </c>
      <c r="C3" s="11" t="inlineStr">
        <is>
          <t>CR-01</t>
        </is>
      </c>
      <c r="D3" s="15" t="inlineStr">
        <is>
          <t>Validare experimentală a suportului XDP nativ pe adaptorul USB Ethernet (eth1); documentare fallback pe XDP generic (SKB mode, mai lent) dacă nu e suportat — „line-rate” complet nu e un obiectiv garantat.</t>
        </is>
      </c>
      <c r="E3" s="11" t="inlineStr">
        <is>
          <t>2.1</t>
        </is>
      </c>
      <c r="F3" s="11" t="inlineStr">
        <is>
          <t>Must</t>
        </is>
      </c>
      <c r="G3" s="11" t="inlineStr">
        <is>
          <t>10.4</t>
        </is>
      </c>
      <c r="H3" s="11" t="inlineStr">
        <is>
          <t>unstarted</t>
        </is>
      </c>
      <c r="I3" s="8" t="n"/>
    </row>
    <row r="4" ht="24" customHeight="1" s="5">
      <c r="A4" s="13" t="inlineStr">
        <is>
          <t>#REQ-003</t>
        </is>
      </c>
      <c r="B4" s="11" t="inlineStr">
        <is>
          <t>Pi — Control Plane</t>
        </is>
      </c>
      <c r="C4" s="11" t="inlineStr">
        <is>
          <t>CR-01</t>
        </is>
      </c>
      <c r="D4" s="15" t="inlineStr">
        <is>
          <t>Subinterfață 802.1Q dedicată (eth1.99), exclusă din br0, pentru expunerea Control Plane API la Layer 3.</t>
        </is>
      </c>
      <c r="E4" s="11" t="inlineStr">
        <is>
          <t>2.1</t>
        </is>
      </c>
      <c r="F4" s="11" t="inlineStr">
        <is>
          <t>Must</t>
        </is>
      </c>
      <c r="G4" s="11" t="inlineStr">
        <is>
          <t>Code Review</t>
        </is>
      </c>
      <c r="H4" s="11" t="inlineStr">
        <is>
          <t>unstarted</t>
        </is>
      </c>
      <c r="I4" s="8" t="n"/>
      <c r="J4" s="20" t="n"/>
    </row>
    <row r="5" ht="36" customHeight="1" s="5">
      <c r="A5" s="13" t="inlineStr">
        <is>
          <t>#REQ-004</t>
        </is>
      </c>
      <c r="B5" s="11" t="inlineStr">
        <is>
          <t>Network</t>
        </is>
      </c>
      <c r="C5" s="11" t="inlineStr">
        <is>
          <t>CR-01</t>
        </is>
      </c>
      <c r="D5" s="15" t="inlineStr">
        <is>
          <t>Configurare VLAN 99 (management) și VLAN 100 (dirtnet) ca trunk dual pe eth1, sau separare fizică (wlan0/eth2) dacă switch-ul nu suportă trunking dual.</t>
        </is>
      </c>
      <c r="E5" s="11" t="inlineStr">
        <is>
          <t>2.2</t>
        </is>
      </c>
      <c r="F5" s="11" t="inlineStr">
        <is>
          <t>Must</t>
        </is>
      </c>
      <c r="G5" s="11" t="inlineStr">
        <is>
          <t>Code Review</t>
        </is>
      </c>
      <c r="H5" s="11" t="inlineStr">
        <is>
          <t>unstarted</t>
        </is>
      </c>
      <c r="I5" s="8" t="n"/>
      <c r="J5" s="20" t="n"/>
    </row>
    <row r="6" ht="36" customHeight="1" s="5">
      <c r="A6" s="13" t="inlineStr">
        <is>
          <t>#REQ-005</t>
        </is>
      </c>
      <c r="B6" s="11" t="inlineStr">
        <is>
          <t>OoB — Honeypot</t>
        </is>
      </c>
      <c r="C6" s="11" t="inlineStr">
        <is>
          <t>CR-04</t>
        </is>
      </c>
      <c r="D6" s="15" t="inlineStr">
        <is>
          <t>Configurare gateway implicit al stației Honeypot pe VLAN 100 ca fiind subinterfața Pi (eth1.100), garantând rutare simetrică nativă fără SNAT.</t>
        </is>
      </c>
      <c r="E6" s="11" t="inlineStr">
        <is>
          <t>2.2 / 5.1</t>
        </is>
      </c>
      <c r="F6" s="11" t="inlineStr">
        <is>
          <t>Must</t>
        </is>
      </c>
      <c r="G6" s="11" t="inlineStr">
        <is>
          <t>10.3</t>
        </is>
      </c>
      <c r="H6" s="11" t="inlineStr">
        <is>
          <t>unstarted</t>
        </is>
      </c>
      <c r="I6" s="8" t="n"/>
      <c r="J6" s="20" t="n"/>
    </row>
    <row r="7" ht="48" customHeight="1" s="5">
      <c r="A7" s="13" t="inlineStr">
        <is>
          <t>#REQ-006</t>
        </is>
      </c>
      <c r="B7" s="11" t="inlineStr">
        <is>
          <t>Pi — Fast-Path/Bridge</t>
        </is>
      </c>
      <c r="C7" s="11" t="inlineStr">
        <is>
          <t>CR-02 / CR-15</t>
        </is>
      </c>
      <c r="D7" s="15" t="inlineStr">
        <is>
          <t>Implementare pipeline eBPF/XDP cu ordine strictă: Rate Limiting → Blocklist → Marcaj Honeypot → Dynamic Flow Offload → implicit PASS. Pi nu mai are ramură proprie de Slow-Path — orice trafic neclasificat e lăsat să treacă spre investigare pe OoB.</t>
        </is>
      </c>
      <c r="E7" s="11" t="inlineStr">
        <is>
          <t>3.1.1 (revizuit)</t>
        </is>
      </c>
      <c r="F7" s="11" t="inlineStr">
        <is>
          <t>Must</t>
        </is>
      </c>
      <c r="G7" s="11" t="inlineStr">
        <is>
          <t>10.1</t>
        </is>
      </c>
      <c r="H7" s="11" t="inlineStr">
        <is>
          <t>unstarted</t>
        </is>
      </c>
      <c r="I7" s="8" t="n"/>
      <c r="J7" s="20" t="n"/>
    </row>
    <row r="8" ht="24" customHeight="1" s="5">
      <c r="A8" s="13" t="inlineStr">
        <is>
          <t>#REQ-007</t>
        </is>
      </c>
      <c r="B8" s="11" t="inlineStr">
        <is>
          <t>Pi — Fast-Path/Bridge</t>
        </is>
      </c>
      <c r="C8" s="11" t="inlineStr">
        <is>
          <t>CR-02</t>
        </is>
      </c>
      <c r="D8" s="15" t="inlineStr">
        <is>
          <t>Implementare Dynamic Flow Offloading via eBPF Map de tip BPF_MAP_TYPE_LRU_HASH.</t>
        </is>
      </c>
      <c r="E8" s="11" t="inlineStr">
        <is>
          <t>3.1</t>
        </is>
      </c>
      <c r="F8" s="11" t="inlineStr">
        <is>
          <t>Must</t>
        </is>
      </c>
      <c r="G8" s="11" t="inlineStr">
        <is>
          <t>10.4</t>
        </is>
      </c>
      <c r="H8" s="11" t="inlineStr">
        <is>
          <t>started</t>
        </is>
      </c>
      <c r="I8" s="8" t="inlineStr">
        <is>
          <t>Z.R.</t>
        </is>
      </c>
      <c r="J8" s="20" t="n"/>
    </row>
    <row r="9" ht="24" customHeight="1" s="5">
      <c r="A9" s="13" t="inlineStr">
        <is>
          <t>#REQ-008</t>
        </is>
      </c>
      <c r="B9" s="11" t="inlineStr">
        <is>
          <t>Pi — Fast-Path/Bridge</t>
        </is>
      </c>
      <c r="C9" s="11" t="inlineStr">
        <is>
          <t>CR-02</t>
        </is>
      </c>
      <c r="D9" s="15" t="inlineStr">
        <is>
          <t>Implementare TTL de re-validare inline (O(1), bpf_ktime_get_ns) pentru intrările din flow cache.</t>
        </is>
      </c>
      <c r="E9" s="11" t="inlineStr">
        <is>
          <t>3.1</t>
        </is>
      </c>
      <c r="F9" s="11" t="inlineStr">
        <is>
          <t>Must</t>
        </is>
      </c>
      <c r="G9" s="11" t="inlineStr">
        <is>
          <t>Code Review</t>
        </is>
      </c>
      <c r="H9" s="11" t="inlineStr">
        <is>
          <t>unstarted</t>
        </is>
      </c>
      <c r="I9" s="8" t="n"/>
      <c r="J9" s="20" t="n"/>
    </row>
    <row r="10" ht="36" customHeight="1" s="5">
      <c r="A10" s="13" t="inlineStr">
        <is>
          <t>#REQ-009</t>
        </is>
      </c>
      <c r="B10" s="11" t="inlineStr">
        <is>
          <t>Pi — Fast-Path/Bridge</t>
        </is>
      </c>
      <c r="C10" s="11" t="inlineStr">
        <is>
          <t>CR-02</t>
        </is>
      </c>
      <c r="D10" s="15" t="inlineStr">
        <is>
          <t>Blocare (XDP_DROP) a pachetelor din surse pe blocklist static/dinamic, actualizat pe baza rezultatelor din scripturile de analiză OoB (sau, ulterior, de AI).</t>
        </is>
      </c>
      <c r="E10" s="11" t="inlineStr">
        <is>
          <t>3.1 / 4.3</t>
        </is>
      </c>
      <c r="F10" s="11" t="inlineStr">
        <is>
          <t>Must</t>
        </is>
      </c>
      <c r="G10" s="11" t="inlineStr">
        <is>
          <t>10.2</t>
        </is>
      </c>
      <c r="H10" s="11" t="inlineStr">
        <is>
          <t>started</t>
        </is>
      </c>
      <c r="I10" s="8" t="inlineStr">
        <is>
          <t>Z.R.</t>
        </is>
      </c>
      <c r="J10" s="20" t="n"/>
    </row>
    <row r="11" ht="48.75" customHeight="1" s="5">
      <c r="A11" s="13" t="inlineStr">
        <is>
          <t>#REQ-010</t>
        </is>
      </c>
      <c r="B11" s="11" t="inlineStr">
        <is>
          <t>Pi — Fast-Path/Bridge</t>
        </is>
      </c>
      <c r="C11" s="11" t="inlineStr">
        <is>
          <t>CR-02</t>
        </is>
      </c>
      <c r="D11" s="15" t="inlineStr">
        <is>
          <t>Rate Limiting per-sursă (PPS) necondiționat, evaluat înaintea oricărei alte reguli din pipeline.</t>
        </is>
      </c>
      <c r="E11" s="11" t="inlineStr">
        <is>
          <t>3.1.1 / 5.4</t>
        </is>
      </c>
      <c r="F11" s="11" t="inlineStr">
        <is>
          <t>Must</t>
        </is>
      </c>
      <c r="G11" s="11" t="inlineStr">
        <is>
          <t>10.1</t>
        </is>
      </c>
      <c r="H11" s="11" t="inlineStr">
        <is>
          <t>finished</t>
        </is>
      </c>
      <c r="I11" s="8" t="inlineStr">
        <is>
          <t>Z.R.</t>
        </is>
      </c>
      <c r="J11" s="20" t="inlineStr">
        <is>
          <t xml:space="preserve">La testare, s-a observat ca ruland Token Bucket primul in pipe-line, creaza memory-write overhead (incrementarea a pachetelor droppate). S-a decis inversarea, plasand Hash Map-ul Blocklist cu complexitate O(1) primul. </t>
        </is>
      </c>
    </row>
    <row r="12" ht="24" customHeight="1" s="5">
      <c r="A12" s="13" t="inlineStr">
        <is>
          <t>#REQ-011</t>
        </is>
      </c>
      <c r="B12" s="11" t="inlineStr">
        <is>
          <t>Pi — Fast-Path/Bridge</t>
        </is>
      </c>
      <c r="C12" s="11" t="inlineStr">
        <is>
          <t>CR-02</t>
        </is>
      </c>
      <c r="D12" s="15" t="inlineStr">
        <is>
          <t>Rate Limiting agregat (global, la nivel de interfață) pentru mitigarea parțială a atacurilor distribuite.</t>
        </is>
      </c>
      <c r="E12" s="11" t="inlineStr">
        <is>
          <t>5.4</t>
        </is>
      </c>
      <c r="F12" s="11" t="inlineStr">
        <is>
          <t>Should</t>
        </is>
      </c>
      <c r="G12" s="11" t="inlineStr">
        <is>
          <t>10.1</t>
        </is>
      </c>
      <c r="H12" s="11" t="inlineStr">
        <is>
          <t>unstarted</t>
        </is>
      </c>
      <c r="I12" s="8" t="n"/>
      <c r="J12" s="20" t="n"/>
    </row>
    <row r="13" ht="24" customHeight="1" s="5">
      <c r="A13" s="13" t="inlineStr">
        <is>
          <t>#REQ-012</t>
        </is>
      </c>
      <c r="B13" s="11" t="inlineStr">
        <is>
          <t>Pi — Fast-Path/Bridge</t>
        </is>
      </c>
      <c r="C13" s="11" t="inlineStr">
        <is>
          <t>CR-02</t>
        </is>
      </c>
      <c r="D13" s="15" t="inlineStr">
        <is>
          <t>Regulă NOTRACK (nftables) pentru fluxurile promovate prin Dynamic Flow Offload, exceptate de la urmărire conntrack.</t>
        </is>
      </c>
      <c r="E13" s="11" t="inlineStr">
        <is>
          <t>3.1.1</t>
        </is>
      </c>
      <c r="F13" s="11" t="inlineStr">
        <is>
          <t>Must</t>
        </is>
      </c>
      <c r="G13" s="11" t="inlineStr">
        <is>
          <t>10.4</t>
        </is>
      </c>
      <c r="H13" s="11" t="inlineStr">
        <is>
          <t>unstarted</t>
        </is>
      </c>
      <c r="I13" s="8" t="n"/>
      <c r="J13" s="20" t="n"/>
    </row>
    <row r="14" ht="36" customHeight="1" s="5">
      <c r="A14" s="13" t="inlineStr">
        <is>
          <t>#REQ-013</t>
        </is>
      </c>
      <c r="B14" s="11" t="inlineStr">
        <is>
          <t>Pi — Fast-Path/Bridge</t>
        </is>
      </c>
      <c r="C14" s="11" t="inlineStr">
        <is>
          <t>CR-02</t>
        </is>
      </c>
      <c r="D14" s="15" t="inlineStr">
        <is>
          <t>Sincronizare a timeout-ului regulii NOTRACK cu TTL-ul eBPF al fluxului corespunzător, gestionată din user-space via API-ul nftables din Python.</t>
        </is>
      </c>
      <c r="E14" s="11" t="inlineStr">
        <is>
          <t>3.1.1 (notă v7)</t>
        </is>
      </c>
      <c r="F14" s="11" t="inlineStr">
        <is>
          <t>Must</t>
        </is>
      </c>
      <c r="G14" s="11" t="inlineStr">
        <is>
          <t>Code Review</t>
        </is>
      </c>
      <c r="H14" s="11" t="inlineStr">
        <is>
          <t>unstarted</t>
        </is>
      </c>
      <c r="I14" s="8" t="n"/>
      <c r="J14" s="20" t="n"/>
    </row>
    <row r="15" ht="48" customHeight="1" s="5">
      <c r="A15" s="13" t="inlineStr">
        <is>
          <t>#REQ-014</t>
        </is>
      </c>
      <c r="B15" s="11" t="inlineStr">
        <is>
          <t>OoB — Analiză Pachete</t>
        </is>
      </c>
      <c r="C15" s="11" t="inlineStr">
        <is>
          <t>CR-03 / CR-15</t>
        </is>
      </c>
      <c r="D15" s="15" t="inlineStr">
        <is>
          <t>Extragere metadate Layer 7 (SNI, JA3/JA4, ETA) pe stația OoB, aplicată exclusiv traficului deja clonat ca ambiguu (vezi 3.3) — distinctă de extragerea rapidă locală de pe Pi (#REQ-058), care servește doar la lookup-uri O(1), nu la investigație aprofundată.</t>
        </is>
      </c>
      <c r="E15" s="11" t="inlineStr">
        <is>
          <t>3.2 / 3.3</t>
        </is>
      </c>
      <c r="F15" s="11" t="inlineStr">
        <is>
          <t>Must</t>
        </is>
      </c>
      <c r="G15" s="11" t="inlineStr">
        <is>
          <t>10.2</t>
        </is>
      </c>
      <c r="H15" s="11" t="inlineStr">
        <is>
          <t>unstarted</t>
        </is>
      </c>
      <c r="I15" s="8" t="n"/>
      <c r="J15" s="20" t="n"/>
    </row>
    <row r="16" ht="60" customHeight="1" s="5">
      <c r="A16" s="13" t="inlineStr">
        <is>
          <t>#REQ-015</t>
        </is>
      </c>
      <c r="B16" s="11" t="inlineStr">
        <is>
          <t>OoB — Analiză Pachete</t>
        </is>
      </c>
      <c r="C16" s="11" t="inlineStr">
        <is>
          <t>CR-03</t>
        </is>
      </c>
      <c r="D16" s="15" t="inlineStr">
        <is>
          <t>Implementare fallback pentru ECH la nivel de OoB: detectarea extensiei ECH și comutare pe JA3/JA4 + ETA. Excepție: extragerea primului pachet L7 (ClientHello) doar pentru comparare cu o bază de date hash locală O(1), lăsând investigația profundă pe OoB.</t>
        </is>
      </c>
      <c r="E16" s="11" t="inlineStr">
        <is>
          <t>3.2 (mutat pe OoB)</t>
        </is>
      </c>
      <c r="F16" s="11" t="inlineStr">
        <is>
          <t>Should</t>
        </is>
      </c>
      <c r="G16" s="11" t="inlineStr">
        <is>
          <t>10.2</t>
        </is>
      </c>
      <c r="H16" s="11" t="inlineStr">
        <is>
          <t>unstarted</t>
        </is>
      </c>
      <c r="I16" s="8" t="inlineStr">
        <is>
          <t>D.R.</t>
        </is>
      </c>
      <c r="J16" s="20" t="inlineStr">
        <is>
          <t>lui rares nu ii place asta :(</t>
        </is>
      </c>
    </row>
    <row r="17" ht="36" customHeight="1" s="5">
      <c r="A17" s="13" t="inlineStr">
        <is>
          <t>#REQ-016</t>
        </is>
      </c>
      <c r="B17" s="11" t="inlineStr">
        <is>
          <t>Pi — Fast-Path/Bridge</t>
        </is>
      </c>
      <c r="C17" s="11" t="inlineStr">
        <is>
          <t>CR-03</t>
        </is>
      </c>
      <c r="D17" s="15" t="inlineStr">
        <is>
          <t>Blocare (Fast-Path, pe Pi) a IP-urilor cunoscute ale providerilor publici de DoH (Canary Domains), ca intrare de blocklist — decizie de politică, nu inspecție L7.</t>
        </is>
      </c>
      <c r="E17" s="11" t="inlineStr">
        <is>
          <t>3.2</t>
        </is>
      </c>
      <c r="F17" s="11" t="inlineStr">
        <is>
          <t>Should</t>
        </is>
      </c>
      <c r="G17" s="11" t="inlineStr">
        <is>
          <t>10.2</t>
        </is>
      </c>
      <c r="H17" s="11" t="inlineStr">
        <is>
          <t>unstarted</t>
        </is>
      </c>
      <c r="I17" s="8" t="n"/>
      <c r="J17" s="20" t="n"/>
    </row>
    <row r="18" ht="48" customHeight="1" s="5">
      <c r="A18" s="13" t="inlineStr">
        <is>
          <t>#REQ-017</t>
        </is>
      </c>
      <c r="B18" s="11" t="inlineStr">
        <is>
          <t>Pi — Fast-Path/Bridge</t>
        </is>
      </c>
      <c r="C18" s="11" t="inlineStr">
        <is>
          <t>CR-03</t>
        </is>
      </c>
      <c r="D18" s="15" t="inlineStr">
        <is>
          <t>Pi aplică exclusiv Rate Limiting generic pe IPv6 (Fast-Path); pachetele peste prag primesc XDP_DROP, restul sunt lăsate să treacă fără parsare L7 pe Pi. Inspecția completă IPv6, dacă e necesară, se face la nivelul OoB.</t>
        </is>
      </c>
      <c r="E18" s="11" t="inlineStr">
        <is>
          <t>3.4 (revizuit)</t>
        </is>
      </c>
      <c r="F18" s="11" t="inlineStr">
        <is>
          <t>Must</t>
        </is>
      </c>
      <c r="G18" s="11" t="inlineStr">
        <is>
          <t>10.4</t>
        </is>
      </c>
      <c r="H18" s="11" t="inlineStr">
        <is>
          <t>unstarted</t>
        </is>
      </c>
      <c r="I18" s="8" t="n"/>
      <c r="J18" s="20" t="n"/>
    </row>
    <row r="19" ht="36" customHeight="1" s="5">
      <c r="A19" s="13" t="inlineStr">
        <is>
          <t>#REQ-018</t>
        </is>
      </c>
      <c r="B19" s="11" t="inlineStr">
        <is>
          <t>Pi — Fast-Path/Bridge</t>
        </is>
      </c>
      <c r="C19" s="11" t="inlineStr">
        <is>
          <t>CR-03</t>
        </is>
      </c>
      <c r="D19" s="15" t="inlineStr">
        <is>
          <t>Contingență: dacă volumul de trafic IPv6 investigat pe OoB saturează resursele stației secundare, se poate opta pentru XDP_DROP total pe IPv6 direct pe Pi, forțând fallback pe IPv4.</t>
        </is>
      </c>
      <c r="E19" s="11" t="inlineStr">
        <is>
          <t>3.4 (notă v7, revizuit)</t>
        </is>
      </c>
      <c r="F19" s="11" t="inlineStr">
        <is>
          <t>Could</t>
        </is>
      </c>
      <c r="G19" s="11" t="inlineStr">
        <is>
          <t>10.4</t>
        </is>
      </c>
      <c r="H19" s="11" t="inlineStr">
        <is>
          <t>unstarted</t>
        </is>
      </c>
      <c r="I19" s="8" t="n"/>
      <c r="J19" s="20" t="n"/>
    </row>
    <row r="20" ht="60" customHeight="1" s="5">
      <c r="A20" s="13" t="inlineStr">
        <is>
          <t>#REQ-019</t>
        </is>
      </c>
      <c r="B20" s="11" t="inlineStr">
        <is>
          <t>Pi — Fast-Path/Bridge</t>
        </is>
      </c>
      <c r="C20" s="11" t="inlineStr">
        <is>
          <t>CR-03 / CR-15</t>
        </is>
      </c>
      <c r="D20" s="15" t="inlineStr">
        <is>
          <t>Implementare port mirroring către stația OoB folosind ținta iptables TEE. Pentru a preveni saturarea VLAN-ului de management, oglindirea se limitează strict la primele N pachete/KB ale fluxului (folosind modulul connbytes), suficient pentru extragerea L7.</t>
        </is>
      </c>
      <c r="E20" s="11" t="inlineStr">
        <is>
          <t>3.3 (revizuit)</t>
        </is>
      </c>
      <c r="F20" s="11" t="inlineStr">
        <is>
          <t>Must</t>
        </is>
      </c>
      <c r="G20" s="11" t="inlineStr">
        <is>
          <t>10.2</t>
        </is>
      </c>
      <c r="H20" s="11" t="inlineStr">
        <is>
          <t>unstarted</t>
        </is>
      </c>
      <c r="I20" s="8" t="n"/>
      <c r="J20" s="20" t="n"/>
    </row>
    <row r="21" ht="48" customHeight="1" s="5">
      <c r="A21" s="13" t="inlineStr">
        <is>
          <t>#REQ-020</t>
        </is>
      </c>
      <c r="B21" s="11" t="inlineStr">
        <is>
          <t>OoB — AI (viitor)</t>
        </is>
      </c>
      <c r="C21" s="11" t="inlineStr">
        <is>
          <t>CR-03</t>
        </is>
      </c>
      <c r="D21" s="15" t="inlineStr">
        <is>
          <t>(Etapă viitoare / experimentală) Antrenare și rulare model Isolation Forest / Random Forest pentru detecția anomaliilor — NU face parte din soluția curentă (MVP), care folosește scripturi de analiză (vezi #REQ-053). Rămâne o posibilitate de upgrade.</t>
        </is>
      </c>
      <c r="E21" s="11" t="inlineStr">
        <is>
          <t>4.1 (mutat în etapa experimentală)</t>
        </is>
      </c>
      <c r="F21" s="11" t="inlineStr">
        <is>
          <t>Could</t>
        </is>
      </c>
      <c r="G21" s="11" t="inlineStr">
        <is>
          <t>N/A — experimental</t>
        </is>
      </c>
      <c r="H21" s="11" t="inlineStr">
        <is>
          <t>unstarted</t>
        </is>
      </c>
      <c r="I21" s="8" t="n"/>
      <c r="J21" s="20" t="n"/>
    </row>
    <row r="22" ht="51.75" customHeight="1" s="5">
      <c r="A22" s="13" t="inlineStr">
        <is>
          <t>#REQ-021</t>
        </is>
      </c>
      <c r="B22" s="11" t="inlineStr">
        <is>
          <t>OoB — AI (viitor)</t>
        </is>
      </c>
      <c r="C22" s="11" t="inlineStr">
        <is>
          <t>CR-05</t>
        </is>
      </c>
      <c r="D22" s="15" t="inlineStr">
        <is>
          <t>(Etapă viitoare / experimentală) Integrare LLM local (Llama-3 8B / Mistral-7B) pentru profilare — NU face parte din soluția curentă (MVP), care folosește scripturi de profilare (vezi #REQ-054). Rămâne o posibilitate de upgrade.</t>
        </is>
      </c>
      <c r="E22" s="11" t="inlineStr">
        <is>
          <t>4.2 (mutat în etapa experimentală)</t>
        </is>
      </c>
      <c r="F22" s="11" t="inlineStr">
        <is>
          <t>Could</t>
        </is>
      </c>
      <c r="G22" s="11" t="inlineStr">
        <is>
          <t>N/A — experimental</t>
        </is>
      </c>
      <c r="H22" s="11" t="inlineStr">
        <is>
          <t>unstarted</t>
        </is>
      </c>
      <c r="I22" s="8" t="n"/>
      <c r="J22" s="20" t="n"/>
    </row>
    <row r="23" ht="56.25" customFormat="1" customHeight="1" s="8">
      <c r="A23" s="13" t="inlineStr">
        <is>
          <t>#REQ-022</t>
        </is>
      </c>
      <c r="B23" s="11" t="inlineStr">
        <is>
          <t>Pi — Fast-Path/Bridge</t>
        </is>
      </c>
      <c r="C23" s="11" t="inlineStr">
        <is>
          <t>CR-04</t>
        </is>
      </c>
      <c r="D23" s="15" t="inlineStr">
        <is>
          <t>Marcare a surselor confirmate ostile pentru redirecționare (PASS) în loc de blocare directă (XDP_DROP), decizia fiind luată pe baza rezultatului scripturilor de analiză OoB (sau, ulterior, AI).</t>
        </is>
      </c>
      <c r="E23" s="11" t="inlineStr">
        <is>
          <t>5.1</t>
        </is>
      </c>
      <c r="F23" s="11" t="inlineStr">
        <is>
          <t>Must</t>
        </is>
      </c>
      <c r="G23" s="11" t="inlineStr">
        <is>
          <t>10.3</t>
        </is>
      </c>
      <c r="H23" s="11" t="inlineStr">
        <is>
          <t>unstarted</t>
        </is>
      </c>
      <c r="J23" s="20" t="n"/>
    </row>
    <row r="24" ht="36" customHeight="1" s="5">
      <c r="A24" s="13" t="inlineStr">
        <is>
          <t>#REQ-023</t>
        </is>
      </c>
      <c r="B24" s="11" t="inlineStr">
        <is>
          <t>Pi — Fast-Path/Bridge</t>
        </is>
      </c>
      <c r="C24" s="11" t="inlineStr">
        <is>
          <t>CR-04</t>
        </is>
      </c>
      <c r="D24" s="15" t="inlineStr">
        <is>
          <t>Activare br_netfilter + bridge-nf-call-iptables pentru evaluare Layer 3 a traficului bridged (necesar pentru handoff-ul de redirecționare).</t>
        </is>
      </c>
      <c r="E24" s="11" t="inlineStr">
        <is>
          <t>5.1</t>
        </is>
      </c>
      <c r="F24" s="11" t="inlineStr">
        <is>
          <t>Must</t>
        </is>
      </c>
      <c r="G24" s="11" t="inlineStr">
        <is>
          <t>10.3</t>
        </is>
      </c>
      <c r="H24" s="11" t="inlineStr">
        <is>
          <t>unstarted</t>
        </is>
      </c>
      <c r="I24" s="8" t="n"/>
      <c r="J24" s="20" t="n"/>
    </row>
    <row r="25" ht="36" customHeight="1" s="5">
      <c r="A25" s="13" t="inlineStr">
        <is>
          <t>#REQ-024</t>
        </is>
      </c>
      <c r="B25" s="11" t="inlineStr">
        <is>
          <t>Pi — Fast-Path/Bridge</t>
        </is>
      </c>
      <c r="C25" s="11" t="inlineStr">
        <is>
          <t>CR-04 / CR-15</t>
        </is>
      </c>
      <c r="D25" s="15" t="inlineStr">
        <is>
          <t>Regulă DNAT simplă (fără SNAT/Masquerade) către mediul Honeypot pe VLAN 100 — singura acțiune activă pe care Pi o execută asupra traficului unui atacator confirmat.</t>
        </is>
      </c>
      <c r="E25" s="11" t="inlineStr">
        <is>
          <t>5.1 (corectat v6)</t>
        </is>
      </c>
      <c r="F25" s="11" t="inlineStr">
        <is>
          <t>Must</t>
        </is>
      </c>
      <c r="G25" s="11" t="inlineStr">
        <is>
          <t>10.3</t>
        </is>
      </c>
      <c r="H25" s="11" t="inlineStr">
        <is>
          <t>unstarted</t>
        </is>
      </c>
      <c r="I25" s="8" t="n"/>
      <c r="J25" s="20" t="n"/>
    </row>
    <row r="26" ht="24" customHeight="1" s="5">
      <c r="A26" s="13" t="inlineStr">
        <is>
          <t>#REQ-025</t>
        </is>
      </c>
      <c r="B26" s="11" t="inlineStr">
        <is>
          <t>OoB — Honeypot</t>
        </is>
      </c>
      <c r="C26" s="11" t="inlineStr">
        <is>
          <t>CR-04</t>
        </is>
      </c>
      <c r="D26" s="15" t="inlineStr">
        <is>
          <t>Izolare Honeypot + motor de analiză OoB în namespace-uri de rețea / VM-uri separate pe stația secundară.</t>
        </is>
      </c>
      <c r="E26" s="11" t="inlineStr">
        <is>
          <t>3.1 (notă izolare)</t>
        </is>
      </c>
      <c r="F26" s="11" t="inlineStr">
        <is>
          <t>Must</t>
        </is>
      </c>
      <c r="G26" s="11" t="inlineStr">
        <is>
          <t>Code Review</t>
        </is>
      </c>
      <c r="H26" s="11" t="inlineStr">
        <is>
          <t>unstarted</t>
        </is>
      </c>
      <c r="I26" s="8" t="n"/>
      <c r="J26" s="20" t="n"/>
    </row>
    <row r="27" ht="36" customHeight="1" s="5">
      <c r="A27" s="13" t="inlineStr">
        <is>
          <t>#REQ-026</t>
        </is>
      </c>
      <c r="B27" s="11" t="inlineStr">
        <is>
          <t>OoB — Active Defense</t>
        </is>
      </c>
      <c r="C27" s="11" t="inlineStr">
        <is>
          <t>CR-04 / CR-15</t>
        </is>
      </c>
      <c r="D27" s="15" t="inlineStr">
        <is>
          <t>Implementare TCP Tarpitting (Zero-Window) la nivelul stației OoB / mediului Honeypot — NU pe Raspberry Pi. Pi doar redirecționează traficul (#REQ-024), fără a-l manipula activ.</t>
        </is>
      </c>
      <c r="E27" s="11" t="inlineStr">
        <is>
          <t>5.2</t>
        </is>
      </c>
      <c r="F27" s="11" t="inlineStr">
        <is>
          <t>Must</t>
        </is>
      </c>
      <c r="G27" s="11" t="inlineStr">
        <is>
          <t>10.1</t>
        </is>
      </c>
      <c r="H27" s="11" t="inlineStr">
        <is>
          <t>unstarted</t>
        </is>
      </c>
      <c r="I27" s="8" t="n"/>
      <c r="J27" s="20" t="n"/>
    </row>
    <row r="28" ht="48" customHeight="1" s="5">
      <c r="A28" s="13" t="inlineStr">
        <is>
          <t>#REQ-027</t>
        </is>
      </c>
      <c r="B28" s="11" t="inlineStr">
        <is>
          <t>OoB — Active Defense</t>
        </is>
      </c>
      <c r="C28" s="11" t="inlineStr">
        <is>
          <t>CR-04 / CR-15</t>
        </is>
      </c>
      <c r="D28" s="15" t="inlineStr">
        <is>
          <t>Pi redirecționează (similar cu #REQ-024) cererile DNS către domenii C2 cunoscute spre stația OoB; falsificarea răspunsului DNS (spoofing) și investigarea dispozitivului infectat se execută la nivelul OoB, nu pe Pi.</t>
        </is>
      </c>
      <c r="E28" s="11" t="inlineStr">
        <is>
          <t>5.3</t>
        </is>
      </c>
      <c r="F28" s="11" t="inlineStr">
        <is>
          <t>Must</t>
        </is>
      </c>
      <c r="G28" s="11" t="inlineStr">
        <is>
          <t>10.2</t>
        </is>
      </c>
      <c r="H28" s="11" t="inlineStr">
        <is>
          <t>unstarted</t>
        </is>
      </c>
      <c r="I28" s="8" t="n"/>
      <c r="J28" s="20" t="n"/>
    </row>
    <row r="29" ht="36" customHeight="1" s="5">
      <c r="A29" s="13" t="inlineStr">
        <is>
          <t>#REQ-028</t>
        </is>
      </c>
      <c r="B29" s="11" t="inlineStr">
        <is>
          <t>Pi — Fast-Path/Bridge</t>
        </is>
      </c>
      <c r="C29" s="11" t="inlineStr">
        <is>
          <t>CR-04</t>
        </is>
      </c>
      <c r="D29" s="15" t="inlineStr">
        <is>
          <t>Protecție Slowloris via Concurrent Connections Limit (eBPF Map dedicată) cu prag per-sursă — rămâne pe Pi, e o funcție de filtrare, nu de decepție activă.</t>
        </is>
      </c>
      <c r="E29" s="11" t="inlineStr">
        <is>
          <t>5.4</t>
        </is>
      </c>
      <c r="F29" s="11" t="inlineStr">
        <is>
          <t>Must</t>
        </is>
      </c>
      <c r="G29" s="11" t="inlineStr">
        <is>
          <t>10.1</t>
        </is>
      </c>
      <c r="H29" s="11" t="inlineStr">
        <is>
          <t>unstarted</t>
        </is>
      </c>
      <c r="I29" s="8" t="n"/>
      <c r="J29" s="20" t="n"/>
    </row>
    <row r="30" ht="24" customHeight="1" s="5">
      <c r="A30" s="13" t="inlineStr">
        <is>
          <t>#REQ-029</t>
        </is>
      </c>
      <c r="B30" s="11" t="inlineStr">
        <is>
          <t>Pi — Fast-Path/Bridge</t>
        </is>
      </c>
      <c r="C30" s="11" t="inlineStr">
        <is>
          <t>CR-04</t>
        </is>
      </c>
      <c r="D30" s="15" t="inlineStr">
        <is>
          <t>Politică de evacuare (TTL inline) pentru contorul de conexiuni concurente per-sursă, simetrică cu #REQ-008.</t>
        </is>
      </c>
      <c r="E30" s="11" t="inlineStr">
        <is>
          <t>5.4 (notă v6)</t>
        </is>
      </c>
      <c r="F30" s="11" t="inlineStr">
        <is>
          <t>Must</t>
        </is>
      </c>
      <c r="G30" s="11" t="inlineStr">
        <is>
          <t>Code Review</t>
        </is>
      </c>
      <c r="H30" s="11" t="inlineStr">
        <is>
          <t>unstarted</t>
        </is>
      </c>
      <c r="I30" s="8" t="n"/>
      <c r="J30" s="20" t="n"/>
    </row>
    <row r="31" ht="60" customHeight="1" s="5">
      <c r="A31" s="13" t="inlineStr">
        <is>
          <t>#REQ-030</t>
        </is>
      </c>
      <c r="B31" s="11" t="inlineStr">
        <is>
          <t>OoB — Active Defense</t>
        </is>
      </c>
      <c r="C31" s="11" t="inlineStr">
        <is>
          <t>CR-05</t>
        </is>
      </c>
      <c r="D31" s="15" t="inlineStr">
        <is>
          <t>Generare raport structurat (JSON) despre atacator: verdict, source_ip, timestamp, action_taken, human_readable_reasoning — produs în stadiul curent de scripturi de analiză pe OoB (vezi #REQ-054); câmpurile confidence_score și mitre_tactic_identified rămân opționale până la eventuala integrare AI.</t>
        </is>
      </c>
      <c r="E31" s="11" t="inlineStr">
        <is>
          <t>4.2 (revizuit)</t>
        </is>
      </c>
      <c r="F31" s="11" t="inlineStr">
        <is>
          <t>Must</t>
        </is>
      </c>
      <c r="G31" s="11" t="inlineStr">
        <is>
          <t>10.3</t>
        </is>
      </c>
      <c r="H31" s="11" t="inlineStr">
        <is>
          <t>unstarted</t>
        </is>
      </c>
      <c r="I31" s="8" t="n"/>
      <c r="J31" s="20" t="n"/>
    </row>
    <row r="32" ht="60" customHeight="1" s="5">
      <c r="A32" s="13" t="inlineStr">
        <is>
          <t>#REQ-031</t>
        </is>
      </c>
      <c r="B32" s="11" t="inlineStr">
        <is>
          <t>OoB — Active Defense</t>
        </is>
      </c>
      <c r="C32" s="11" t="inlineStr">
        <is>
          <t>CR-05</t>
        </is>
      </c>
      <c r="D32" s="15" t="inlineStr">
        <is>
          <t>(Relevantă mai ales după eventuala integrare LLM, #REQ-021) Validarea acurateței încadrării MITRE ATT&amp;CK pe un eșantion reprezentativ de scenarii — dacă se implementează o mapare statică comenzi→tehnici prin scripturi, se validează similar, fără pragul de „zero halucinații”.</t>
        </is>
      </c>
      <c r="E32" s="11" t="inlineStr">
        <is>
          <t>4.2 / 10.3 (revizuit)</t>
        </is>
      </c>
      <c r="F32" s="11" t="inlineStr">
        <is>
          <t>Should</t>
        </is>
      </c>
      <c r="G32" s="11" t="inlineStr">
        <is>
          <t>10.3</t>
        </is>
      </c>
      <c r="H32" s="11" t="inlineStr">
        <is>
          <t>unstarted</t>
        </is>
      </c>
      <c r="I32" s="8" t="n"/>
      <c r="J32" s="20" t="n"/>
    </row>
    <row r="33" ht="36" customHeight="1" s="5">
      <c r="A33" s="13" t="inlineStr">
        <is>
          <t>#REQ-032</t>
        </is>
      </c>
      <c r="B33" s="11" t="inlineStr">
        <is>
          <t>Reliability</t>
        </is>
      </c>
      <c r="C33" s="11" t="inlineStr">
        <is>
          <t>CR-06</t>
        </is>
      </c>
      <c r="D33" s="15" t="inlineStr">
        <is>
          <t>Implementare watchdog software pentru heartbeat-ul procesului de filtrare de pe Pi, cu comutare automată pe forwarding simplu (fail-open) la eșec.</t>
        </is>
      </c>
      <c r="E33" s="11" t="inlineStr">
        <is>
          <t>7.3</t>
        </is>
      </c>
      <c r="F33" s="11" t="inlineStr">
        <is>
          <t>Must</t>
        </is>
      </c>
      <c r="G33" s="11" t="inlineStr">
        <is>
          <t>10.5</t>
        </is>
      </c>
      <c r="H33" s="11" t="inlineStr">
        <is>
          <t>unstarted</t>
        </is>
      </c>
      <c r="I33" s="8" t="n"/>
      <c r="J33" s="20" t="n"/>
    </row>
    <row r="34" ht="24" customHeight="1" s="5">
      <c r="A34" s="13" t="inlineStr">
        <is>
          <t>#REQ-033</t>
        </is>
      </c>
      <c r="B34" s="11" t="inlineStr">
        <is>
          <t>Reliability</t>
        </is>
      </c>
      <c r="C34" s="11" t="inlineStr">
        <is>
          <t>CR-06</t>
        </is>
      </c>
      <c r="D34" s="15" t="inlineStr">
        <is>
          <t>Activare Hardware Watchdog (WDT) al SoC-ului pentru repornire automată la kernel panic / hang complet.</t>
        </is>
      </c>
      <c r="E34" s="11" t="inlineStr">
        <is>
          <t>7.3</t>
        </is>
      </c>
      <c r="F34" s="11" t="inlineStr">
        <is>
          <t>Must</t>
        </is>
      </c>
      <c r="G34" s="11" t="inlineStr">
        <is>
          <t>10.5</t>
        </is>
      </c>
      <c r="H34" s="11" t="inlineStr">
        <is>
          <t>unstarted</t>
        </is>
      </c>
      <c r="I34" s="8" t="n"/>
      <c r="J34" s="20" t="n"/>
    </row>
    <row r="35" ht="36" customHeight="1" s="5">
      <c r="A35" s="13" t="inlineStr">
        <is>
          <t>#REQ-034</t>
        </is>
      </c>
      <c r="B35" s="11" t="inlineStr">
        <is>
          <t>Reliability</t>
        </is>
      </c>
      <c r="C35" s="11" t="inlineStr">
        <is>
          <t>CR-06</t>
        </is>
      </c>
      <c r="D35" s="15" t="inlineStr">
        <is>
          <t>Evaluare/achiziție Network TAP sau releu de bypass electric pentru acoperirea completă a SPOF-ului la pierdere totală de curent.</t>
        </is>
      </c>
      <c r="E35" s="11" t="inlineStr">
        <is>
          <t>7.3 / Cap. 9</t>
        </is>
      </c>
      <c r="F35" s="11" t="inlineStr">
        <is>
          <t>Should</t>
        </is>
      </c>
      <c r="G35" s="11" t="inlineStr">
        <is>
          <t>Code Review</t>
        </is>
      </c>
      <c r="H35" s="11" t="inlineStr">
        <is>
          <t>unstarted</t>
        </is>
      </c>
      <c r="I35" s="8" t="n"/>
      <c r="J35" s="20" t="n"/>
    </row>
    <row r="36" ht="24" customHeight="1" s="5">
      <c r="A36" s="13" t="inlineStr">
        <is>
          <t>#REQ-035</t>
        </is>
      </c>
      <c r="B36" s="11" t="inlineStr">
        <is>
          <t>Reliability</t>
        </is>
      </c>
      <c r="C36" s="11" t="inlineStr">
        <is>
          <t>CR-07</t>
        </is>
      </c>
      <c r="D36" s="15" t="inlineStr">
        <is>
          <t>Migrare stocare pe SSD extern USB 3.0, cu boot direct de pe acesta.</t>
        </is>
      </c>
      <c r="E36" s="11" t="inlineStr">
        <is>
          <t>8.1</t>
        </is>
      </c>
      <c r="F36" s="11" t="inlineStr">
        <is>
          <t>Must</t>
        </is>
      </c>
      <c r="G36" s="11" t="inlineStr">
        <is>
          <t>Code Review</t>
        </is>
      </c>
      <c r="H36" s="11" t="inlineStr">
        <is>
          <t>unstarted</t>
        </is>
      </c>
      <c r="I36" s="8" t="n"/>
      <c r="J36" s="20" t="n"/>
    </row>
    <row r="37" ht="24" customHeight="1" s="5">
      <c r="A37" s="13" t="inlineStr">
        <is>
          <t>#REQ-036</t>
        </is>
      </c>
      <c r="B37" s="11" t="inlineStr">
        <is>
          <t>Reliability</t>
        </is>
      </c>
      <c r="C37" s="11" t="inlineStr">
        <is>
          <t>CR-07</t>
        </is>
      </c>
      <c r="D37" s="15" t="inlineStr">
        <is>
          <t>Montare rootfs read-only + tmpfs pentru directoare cu scriere frecventă.</t>
        </is>
      </c>
      <c r="E37" s="11" t="inlineStr">
        <is>
          <t>8.2</t>
        </is>
      </c>
      <c r="F37" s="11" t="inlineStr">
        <is>
          <t>Must</t>
        </is>
      </c>
      <c r="G37" s="11" t="inlineStr">
        <is>
          <t>10.5</t>
        </is>
      </c>
      <c r="H37" s="11" t="inlineStr">
        <is>
          <t>unstarted</t>
        </is>
      </c>
      <c r="I37" s="8" t="n"/>
      <c r="J37" s="20" t="n"/>
    </row>
    <row r="38" ht="24" customHeight="1" s="5">
      <c r="A38" s="13" t="inlineStr">
        <is>
          <t>#REQ-037</t>
        </is>
      </c>
      <c r="B38" s="11" t="inlineStr">
        <is>
          <t>Reliability</t>
        </is>
      </c>
      <c r="C38" s="11" t="inlineStr">
        <is>
          <t>CR-07</t>
        </is>
      </c>
      <c r="D38" s="15" t="inlineStr">
        <is>
          <t>Scriere periodică (batch) a datelor persistente (loguri, rapoarte de analiză) pe partiție read-write dedicată de pe SSD.</t>
        </is>
      </c>
      <c r="E38" s="11" t="inlineStr">
        <is>
          <t>8.2</t>
        </is>
      </c>
      <c r="F38" s="11" t="inlineStr">
        <is>
          <t>Must</t>
        </is>
      </c>
      <c r="G38" s="11" t="inlineStr">
        <is>
          <t>Code Review</t>
        </is>
      </c>
      <c r="H38" s="11" t="inlineStr">
        <is>
          <t>unstarted</t>
        </is>
      </c>
      <c r="I38" s="8" t="n"/>
      <c r="J38" s="20" t="n"/>
    </row>
    <row r="39" ht="24" customHeight="1" s="5">
      <c r="A39" s="13" t="inlineStr">
        <is>
          <t>#REQ-038</t>
        </is>
      </c>
      <c r="B39" s="11" t="inlineStr">
        <is>
          <t>Documentație</t>
        </is>
      </c>
      <c r="C39" s="11" t="inlineStr">
        <is>
          <t>CR-08</t>
        </is>
      </c>
      <c r="D39" s="15" t="inlineStr">
        <is>
          <t>Completare Bill of Materials cu status de achiziție și riscuri de compatibilitate (ex: adaptor USB fără XDP nativ confirmat).</t>
        </is>
      </c>
      <c r="E39" s="11" t="inlineStr">
        <is>
          <t>Cap. 9</t>
        </is>
      </c>
      <c r="F39" s="11" t="inlineStr">
        <is>
          <t>Must</t>
        </is>
      </c>
      <c r="G39" s="11" t="inlineStr">
        <is>
          <t>N/A</t>
        </is>
      </c>
      <c r="H39" s="11" t="inlineStr">
        <is>
          <t>unstarted</t>
        </is>
      </c>
      <c r="I39" s="8" t="n"/>
      <c r="J39" s="20" t="n"/>
    </row>
    <row r="40" ht="24" customHeight="1" s="5">
      <c r="A40" s="13" t="inlineStr">
        <is>
          <t>#REQ-039</t>
        </is>
      </c>
      <c r="B40" s="11" t="inlineStr">
        <is>
          <t>Reliability</t>
        </is>
      </c>
      <c r="C40" s="11" t="inlineStr">
        <is>
          <t>CR-09</t>
        </is>
      </c>
      <c r="D40" s="15" t="inlineStr">
        <is>
          <t>Implementare schemă de actualizare OTA A/B cu verificare de sănătate și rollback automat.</t>
        </is>
      </c>
      <c r="E40" s="11" t="inlineStr">
        <is>
          <t>8.3</t>
        </is>
      </c>
      <c r="F40" s="11" t="inlineStr">
        <is>
          <t>Should</t>
        </is>
      </c>
      <c r="G40" s="11" t="inlineStr">
        <is>
          <t>Code Review</t>
        </is>
      </c>
      <c r="H40" s="11" t="inlineStr">
        <is>
          <t>unstarted</t>
        </is>
      </c>
      <c r="I40" s="8" t="n"/>
      <c r="J40" s="20" t="n"/>
    </row>
    <row r="41" ht="24" customHeight="1" s="5">
      <c r="A41" s="13" t="inlineStr">
        <is>
          <t>#REQ-040</t>
        </is>
      </c>
      <c r="B41" s="11" t="inlineStr">
        <is>
          <t>Reliability</t>
        </is>
      </c>
      <c r="C41" s="11" t="inlineStr">
        <is>
          <t>CR-09</t>
        </is>
      </c>
      <c r="D41" s="15" t="inlineStr">
        <is>
          <t>Politică minimă de backup zilnic pentru partiția read-write persistentă.</t>
        </is>
      </c>
      <c r="E41" s="11" t="inlineStr">
        <is>
          <t>8.4</t>
        </is>
      </c>
      <c r="F41" s="11" t="inlineStr">
        <is>
          <t>Should</t>
        </is>
      </c>
      <c r="G41" s="11" t="inlineStr">
        <is>
          <t>Code Review</t>
        </is>
      </c>
      <c r="H41" s="11" t="inlineStr">
        <is>
          <t>unstarted</t>
        </is>
      </c>
      <c r="I41" s="8" t="n"/>
      <c r="J41" s="20" t="n"/>
    </row>
    <row r="42" ht="24" customHeight="1" s="5">
      <c r="A42" s="13" t="inlineStr">
        <is>
          <t>#REQ-041</t>
        </is>
      </c>
      <c r="B42" s="11" t="inlineStr">
        <is>
          <t>Pi — Control Plane</t>
        </is>
      </c>
      <c r="C42" s="11" t="inlineStr">
        <is>
          <t>CR-04 / CR-06</t>
        </is>
      </c>
      <c r="D42" s="15" t="inlineStr">
        <is>
          <t>Autentificare Control Plane API via Bearer Token, stocat în variabile de mediu.</t>
        </is>
      </c>
      <c r="E42" s="11" t="inlineStr">
        <is>
          <t>6.3.1</t>
        </is>
      </c>
      <c r="F42" s="11" t="inlineStr">
        <is>
          <t>Must</t>
        </is>
      </c>
      <c r="G42" s="11" t="inlineStr">
        <is>
          <t>Code Review</t>
        </is>
      </c>
      <c r="H42" s="11" t="inlineStr">
        <is>
          <t>unstarted</t>
        </is>
      </c>
      <c r="I42" s="8" t="n"/>
      <c r="J42" s="20" t="n"/>
    </row>
    <row r="43" ht="24" customHeight="1" s="5">
      <c r="A43" s="13" t="inlineStr">
        <is>
          <t>#REQ-042</t>
        </is>
      </c>
      <c r="B43" s="11" t="inlineStr">
        <is>
          <t>Pi — Control Plane</t>
        </is>
      </c>
      <c r="C43" s="11" t="inlineStr">
        <is>
          <t>CR-04 / CR-06</t>
        </is>
      </c>
      <c r="D43" s="15" t="inlineStr">
        <is>
          <t>(Recomandat) mTLS pentru Control Plane API, cu CA intern auto-semnat.</t>
        </is>
      </c>
      <c r="E43" s="11" t="inlineStr">
        <is>
          <t>6.3.1</t>
        </is>
      </c>
      <c r="F43" s="11" t="inlineStr">
        <is>
          <t>Should</t>
        </is>
      </c>
      <c r="G43" s="11" t="inlineStr">
        <is>
          <t>Code Review</t>
        </is>
      </c>
      <c r="H43" s="11" t="inlineStr">
        <is>
          <t>unstarted</t>
        </is>
      </c>
      <c r="I43" s="8" t="n"/>
      <c r="J43" s="20" t="n"/>
    </row>
    <row r="44" ht="24" customHeight="1" s="5">
      <c r="A44" s="13" t="inlineStr">
        <is>
          <t>#REQ-043</t>
        </is>
      </c>
      <c r="B44" s="11" t="inlineStr">
        <is>
          <t>Pi — Control Plane</t>
        </is>
      </c>
      <c r="C44" s="11" t="inlineStr">
        <is>
          <t>CR-04 / CR-06</t>
        </is>
      </c>
      <c r="D44" s="15" t="inlineStr">
        <is>
          <t>Rate limiting intern pe Control Plane API, pentru a preveni abuz în cazul compromiterii token-ului.</t>
        </is>
      </c>
      <c r="E44" s="11" t="inlineStr">
        <is>
          <t>6.3.1</t>
        </is>
      </c>
      <c r="F44" s="11" t="inlineStr">
        <is>
          <t>Must</t>
        </is>
      </c>
      <c r="G44" s="11" t="inlineStr">
        <is>
          <t>Code Review</t>
        </is>
      </c>
      <c r="H44" s="11" t="inlineStr">
        <is>
          <t>unstarted</t>
        </is>
      </c>
      <c r="I44" s="8" t="n"/>
      <c r="J44" s="20" t="n"/>
    </row>
    <row r="45" ht="24" customHeight="1" s="5">
      <c r="A45" s="13" t="inlineStr">
        <is>
          <t>#REQ-044</t>
        </is>
      </c>
      <c r="B45" s="11" t="inlineStr">
        <is>
          <t>Testare</t>
        </is>
      </c>
      <c r="C45" s="11" t="inlineStr">
        <is>
          <t>CR-10</t>
        </is>
      </c>
      <c r="D45" s="15" t="inlineStr">
        <is>
          <t>Scenariu de test Atac Volumetric (SYN Flood) — validare prag Rate Limiting + XDP_DROP pe Pi + CPU &lt; 50-60%.</t>
        </is>
      </c>
      <c r="E45" s="11" t="inlineStr">
        <is>
          <t>10.1</t>
        </is>
      </c>
      <c r="F45" s="11" t="inlineStr">
        <is>
          <t>Must</t>
        </is>
      </c>
      <c r="G45" s="11" t="inlineStr">
        <is>
          <t>10.1</t>
        </is>
      </c>
      <c r="H45" s="11" t="inlineStr">
        <is>
          <t>unstarted</t>
        </is>
      </c>
      <c r="I45" s="8" t="n"/>
      <c r="J45" s="20" t="n"/>
    </row>
    <row r="46" ht="36" customHeight="1" s="5">
      <c r="A46" s="13" t="inlineStr">
        <is>
          <t>#REQ-045</t>
        </is>
      </c>
      <c r="B46" s="11" t="inlineStr">
        <is>
          <t>Testare</t>
        </is>
      </c>
      <c r="C46" s="11" t="inlineStr">
        <is>
          <t>CR-10</t>
        </is>
      </c>
      <c r="D46" s="15" t="inlineStr">
        <is>
          <t>Scenariu de test Exfiltrare Mascată — validare investigare la nivel de pachet pe OoB (scripturi de analiză) + închiderea buclei de feedback în &lt; 5 secunde.</t>
        </is>
      </c>
      <c r="E46" s="11" t="inlineStr">
        <is>
          <t>10.2 (revizuit)</t>
        </is>
      </c>
      <c r="F46" s="11" t="inlineStr">
        <is>
          <t>Must</t>
        </is>
      </c>
      <c r="G46" s="11" t="inlineStr">
        <is>
          <t>10.2</t>
        </is>
      </c>
      <c r="H46" s="11" t="inlineStr">
        <is>
          <t>unstarted</t>
        </is>
      </c>
      <c r="I46" s="8" t="n"/>
      <c r="J46" s="20" t="n"/>
    </row>
    <row r="47" ht="36" customHeight="1" s="5">
      <c r="A47" s="13" t="inlineStr">
        <is>
          <t>#REQ-046</t>
        </is>
      </c>
      <c r="B47" s="11" t="inlineStr">
        <is>
          <t>Testare</t>
        </is>
      </c>
      <c r="C47" s="11" t="inlineStr">
        <is>
          <t>CR-10</t>
        </is>
      </c>
      <c r="D47" s="15" t="inlineStr">
        <is>
          <t>Scenariu de test Exploatare Interactivă — validare handoff Honeypot (Pi) + Tarpitting/decepție (OoB) + raport de profilare generat de scripturi.</t>
        </is>
      </c>
      <c r="E47" s="11" t="inlineStr">
        <is>
          <t>10.3 (revizuit)</t>
        </is>
      </c>
      <c r="F47" s="11" t="inlineStr">
        <is>
          <t>Must</t>
        </is>
      </c>
      <c r="G47" s="11" t="inlineStr">
        <is>
          <t>10.3</t>
        </is>
      </c>
      <c r="H47" s="11" t="inlineStr">
        <is>
          <t>unstarted</t>
        </is>
      </c>
      <c r="I47" s="8" t="n"/>
      <c r="J47" s="20" t="n"/>
    </row>
    <row r="48" ht="36" customHeight="1" s="5">
      <c r="A48" s="13" t="inlineStr">
        <is>
          <t>#REQ-047</t>
        </is>
      </c>
      <c r="B48" s="11" t="inlineStr">
        <is>
          <t>Testare</t>
        </is>
      </c>
      <c r="C48" s="11" t="inlineStr">
        <is>
          <t>CR-10 / CR-13</t>
        </is>
      </c>
      <c r="D48" s="15" t="inlineStr">
        <is>
          <t>Măsurare KPI: Throughput (prag realist, validat, nu „line-rate”), Jitter, FPR — cu și fără optimizarea NOTRACK, măsurate separat pentru Pi (filtrare) și OoB (analiză L7).</t>
        </is>
      </c>
      <c r="E48" s="11" t="inlineStr">
        <is>
          <t>10.4 (revizuit)</t>
        </is>
      </c>
      <c r="F48" s="11" t="inlineStr">
        <is>
          <t>Must</t>
        </is>
      </c>
      <c r="G48" s="11" t="inlineStr">
        <is>
          <t>10.4</t>
        </is>
      </c>
      <c r="H48" s="11" t="inlineStr">
        <is>
          <t>unstarted</t>
        </is>
      </c>
      <c r="I48" s="8" t="n"/>
      <c r="J48" s="20" t="n"/>
    </row>
    <row r="49" ht="24" customHeight="1" s="5">
      <c r="A49" s="13" t="inlineStr">
        <is>
          <t>#REQ-048</t>
        </is>
      </c>
      <c r="B49" s="11" t="inlineStr">
        <is>
          <t>Testare</t>
        </is>
      </c>
      <c r="C49" s="11" t="inlineStr">
        <is>
          <t>CR-10</t>
        </is>
      </c>
      <c r="D49" s="15" t="inlineStr">
        <is>
          <t>Scenariu de test Failover — validare Fail-Open software + Hardware Watchdog (kernel panic simulat) pe Pi.</t>
        </is>
      </c>
      <c r="E49" s="11" t="inlineStr">
        <is>
          <t>10.5</t>
        </is>
      </c>
      <c r="F49" s="11" t="inlineStr">
        <is>
          <t>Must</t>
        </is>
      </c>
      <c r="G49" s="11" t="inlineStr">
        <is>
          <t>10.5</t>
        </is>
      </c>
      <c r="H49" s="11" t="inlineStr">
        <is>
          <t>unstarted</t>
        </is>
      </c>
      <c r="I49" s="8" t="n"/>
      <c r="J49" s="20" t="n"/>
    </row>
    <row r="50" ht="36" customHeight="1" s="5">
      <c r="A50" s="13" t="inlineStr">
        <is>
          <t>#REQ-049</t>
        </is>
      </c>
      <c r="B50" s="11" t="inlineStr">
        <is>
          <t>Documentație</t>
        </is>
      </c>
      <c r="C50" s="11" t="inlineStr">
        <is>
          <t>CR-11</t>
        </is>
      </c>
      <c r="D50" s="15" t="inlineStr">
        <is>
          <t>Menținerea Cap. 7 (Limitări Arhitecturale) actualizat la fiecare schimbare majoră de arhitectură, ca sursă unică de adevăr pentru riscurile neacoperite.</t>
        </is>
      </c>
      <c r="E50" s="11" t="inlineStr">
        <is>
          <t>Cap. 7</t>
        </is>
      </c>
      <c r="F50" s="11" t="inlineStr">
        <is>
          <t>Must</t>
        </is>
      </c>
      <c r="G50" s="11" t="inlineStr">
        <is>
          <t>Code Review</t>
        </is>
      </c>
      <c r="H50" s="11" t="inlineStr">
        <is>
          <t>unstarted</t>
        </is>
      </c>
      <c r="I50" s="8" t="n"/>
      <c r="J50" s="20" t="n"/>
    </row>
    <row r="51" ht="48" customHeight="1" s="5">
      <c r="A51" s="13" t="inlineStr">
        <is>
          <t>#REQ-050</t>
        </is>
      </c>
      <c r="B51" s="11" t="inlineStr">
        <is>
          <t>OoB — Active Defense</t>
        </is>
      </c>
      <c r="C51" s="11" t="inlineStr">
        <is>
          <t>CR-12</t>
        </is>
      </c>
      <c r="D51" s="15" t="inlineStr">
        <is>
          <t>Expunere locală a rapoartelor de analiză (#REQ-030) și a logurilor relevante într-un format accesibil fără sesiune SSH activă (ex: fișier de log rotativ pe SSD, sau mic dashboard static generat periodic).</t>
        </is>
      </c>
      <c r="E51" s="11" t="inlineStr">
        <is>
          <t>Derivat din 4.2 / 8.2</t>
        </is>
      </c>
      <c r="F51" s="11" t="inlineStr">
        <is>
          <t>Should</t>
        </is>
      </c>
      <c r="G51" s="11" t="inlineStr">
        <is>
          <t>Code Review</t>
        </is>
      </c>
      <c r="H51" s="11" t="inlineStr">
        <is>
          <t>unstarted</t>
        </is>
      </c>
      <c r="I51" s="8" t="n"/>
      <c r="J51" s="20" t="n"/>
    </row>
    <row r="52" ht="36" customHeight="1" s="5">
      <c r="A52" s="13" t="inlineStr">
        <is>
          <t>#REQ-051</t>
        </is>
      </c>
      <c r="B52" s="11" t="inlineStr">
        <is>
          <t>Testare</t>
        </is>
      </c>
      <c r="C52" s="11" t="inlineStr">
        <is>
          <t>CR-13</t>
        </is>
      </c>
      <c r="D52" s="15" t="inlineStr">
        <is>
          <t>Definirea și validarea explicită a bugetului de resurse (CPU/RAM), separat pentru Pi (filtrare) și OoB (analiză), pe baza testelor din 10.4.</t>
        </is>
      </c>
      <c r="E52" s="11" t="inlineStr">
        <is>
          <t>10.4</t>
        </is>
      </c>
      <c r="F52" s="11" t="inlineStr">
        <is>
          <t>Must</t>
        </is>
      </c>
      <c r="G52" s="11" t="inlineStr">
        <is>
          <t>10.4</t>
        </is>
      </c>
      <c r="H52" s="11" t="inlineStr">
        <is>
          <t>unstarted</t>
        </is>
      </c>
      <c r="I52" s="8" t="n"/>
      <c r="J52" s="20" t="n"/>
    </row>
    <row r="53" ht="48" customHeight="1" s="5">
      <c r="A53" s="13" t="inlineStr">
        <is>
          <t>#REQ-052</t>
        </is>
      </c>
      <c r="B53" s="11" t="inlineStr">
        <is>
          <t>Reliability</t>
        </is>
      </c>
      <c r="C53" s="11" t="inlineStr">
        <is>
          <t>CR-14</t>
        </is>
      </c>
      <c r="D53" s="15" t="inlineStr">
        <is>
          <t>Implementare comutator manual (software, cu posibilitate de extindere fizică) care dezactivează toate mecanismele de redirecționare/analiză/decepție indiferent de starea watchdog-ului, pentru control direct al operatorului uman.</t>
        </is>
      </c>
      <c r="E53" s="11" t="inlineStr">
        <is>
          <t>Derivat din 7.3</t>
        </is>
      </c>
      <c r="F53" s="11" t="inlineStr">
        <is>
          <t>Should</t>
        </is>
      </c>
      <c r="G53" s="11" t="inlineStr">
        <is>
          <t>10.5</t>
        </is>
      </c>
      <c r="H53" s="11" t="inlineStr">
        <is>
          <t>unstarted</t>
        </is>
      </c>
      <c r="I53" s="8" t="n"/>
      <c r="J53" s="20" t="n"/>
    </row>
    <row r="54" ht="68.25" customHeight="1" s="5">
      <c r="A54" s="13" t="inlineStr">
        <is>
          <t>#REQ-053</t>
        </is>
      </c>
      <c r="B54" s="11" t="inlineStr">
        <is>
          <t>OoB — Analiză Pachete</t>
        </is>
      </c>
      <c r="C54" s="11" t="inlineStr">
        <is>
          <t>CR-03</t>
        </is>
      </c>
      <c r="D54" s="15" t="inlineStr">
        <is>
          <t>Implementare scripturi de analiză euristică (reguli, praguri, semnături cunoscute) pentru investigarea la nivel de pachet, pe stația OoB, a traficului lăsat să treacă de Pi ca fiind suspect dar neconcludent. Soluție curentă (MVP), înainte de eventuala integrare AI (#REQ-020).</t>
        </is>
      </c>
      <c r="E54" s="11" t="inlineStr">
        <is>
          <t>Nou — înlocuiește temporar 4.1</t>
        </is>
      </c>
      <c r="F54" s="11" t="inlineStr">
        <is>
          <t>Must</t>
        </is>
      </c>
      <c r="G54" s="11" t="inlineStr">
        <is>
          <t>10.2</t>
        </is>
      </c>
      <c r="H54" s="11" t="inlineStr">
        <is>
          <t>started</t>
        </is>
      </c>
      <c r="I54" s="8" t="inlineStr">
        <is>
          <t>Rares</t>
        </is>
      </c>
      <c r="J54" s="20" t="n"/>
    </row>
    <row r="55" ht="72" customHeight="1" s="5">
      <c r="A55" s="13" t="inlineStr">
        <is>
          <t>#REQ-054</t>
        </is>
      </c>
      <c r="B55" s="11" t="inlineStr">
        <is>
          <t>OoB — Active Defense</t>
        </is>
      </c>
      <c r="C55" s="11" t="inlineStr">
        <is>
          <t>CR-05</t>
        </is>
      </c>
      <c r="D55" s="15" t="inlineStr">
        <is>
          <t>Implementare scripturi de profilare a atacatorului pe baza logurilor din mediul Honeypot (extragere IOC-uri, comenzi rulate, unelte folosite), ca soluție curentă (MVP) pentru generarea rapoartelor, înainte de eventuala integrare LLM (#REQ-021).</t>
        </is>
      </c>
      <c r="E55" s="11" t="inlineStr">
        <is>
          <t>Nou — înlocuiește temporar 4.2</t>
        </is>
      </c>
      <c r="F55" s="11" t="inlineStr">
        <is>
          <t>Must</t>
        </is>
      </c>
      <c r="G55" s="11" t="inlineStr">
        <is>
          <t>10.3</t>
        </is>
      </c>
      <c r="H55" s="11" t="inlineStr">
        <is>
          <t>unstarted</t>
        </is>
      </c>
      <c r="I55" s="8" t="n"/>
      <c r="J55" s="20" t="n"/>
    </row>
    <row r="56" ht="60" customHeight="1" s="5">
      <c r="A56" s="13" t="inlineStr">
        <is>
          <t>#REQ-055</t>
        </is>
      </c>
      <c r="B56" s="11" t="inlineStr">
        <is>
          <t>Documentație</t>
        </is>
      </c>
      <c r="C56" s="11" t="inlineStr">
        <is>
          <t>CR-15</t>
        </is>
      </c>
      <c r="D56" s="15" t="inlineStr">
        <is>
          <t>Documentare explicită a arhitecturii ca etapizată — motor de scripturi (curent, MVP) vs. motor AI/ML (etapă viitoare, experimentală) — cu format de date comun (JSON, vezi #REQ-030) între cele două, pentru a permite înlocuirea ulterioară fără refactorizare majoră a Control Plane API.</t>
        </is>
      </c>
      <c r="E56" s="11" t="inlineStr">
        <is>
          <t>6.3.2</t>
        </is>
      </c>
      <c r="F56" s="11" t="inlineStr">
        <is>
          <t>Should</t>
        </is>
      </c>
      <c r="G56" s="11" t="inlineStr">
        <is>
          <t>Code Review</t>
        </is>
      </c>
      <c r="H56" s="11" t="inlineStr">
        <is>
          <t>unstarted</t>
        </is>
      </c>
      <c r="I56" s="8" t="n"/>
      <c r="J56" s="20" t="n"/>
    </row>
    <row r="57" ht="52.5" customHeight="1" s="5">
      <c r="A57" s="13" t="inlineStr">
        <is>
          <t>#REQ-056</t>
        </is>
      </c>
      <c r="B57" s="10" t="inlineStr">
        <is>
          <t>OoB — Analiză Pachete</t>
        </is>
      </c>
      <c r="C57" s="10" t="inlineStr">
        <is>
          <t>CR-03</t>
        </is>
      </c>
      <c r="D57" s="15" t="inlineStr">
        <is>
          <t>Implementare motor de analiză rețea (ex: Zeek sau Suricata) pe stația OoB pentru a ingera pachetele brute clonate prin VLAN 100, a reasambla fluxurile TCP și a genera loguri structurate (JSON) pentru analiza euristică/AI.</t>
        </is>
      </c>
      <c r="E57" s="11" t="inlineStr">
        <is>
          <t>5.6 / 7.3.1</t>
        </is>
      </c>
      <c r="F57" s="10" t="inlineStr">
        <is>
          <t>Must</t>
        </is>
      </c>
      <c r="G57" s="11" t="n">
        <v>10.2</v>
      </c>
      <c r="H57" s="11" t="inlineStr">
        <is>
          <t>started</t>
        </is>
      </c>
      <c r="I57" s="8" t="inlineStr">
        <is>
          <t>D.R.</t>
        </is>
      </c>
      <c r="J57" s="20" t="n"/>
    </row>
    <row r="58" ht="48" customHeight="1" s="5">
      <c r="A58" s="13" t="inlineStr">
        <is>
          <t>#REQ-057</t>
        </is>
      </c>
      <c r="B58" s="10" t="inlineStr">
        <is>
          <t>Pi — Fast-Path/Bridge</t>
        </is>
      </c>
      <c r="C58" s="10" t="inlineStr">
        <is>
          <t>CR-02</t>
        </is>
      </c>
      <c r="D58" s="15" t="inlineStr">
        <is>
          <t>Implementare cron job pe Raspberry Pi pentru preluarea periodică a unor liste de reputație IP / Threat Intel din surse publice open-source, cu injectare directă în eBPF Blocklist Map pentru decizii XDP_DROP sincrone.</t>
        </is>
      </c>
      <c r="E58" s="11" t="inlineStr">
        <is>
          <t>Nou — principiu de proiectare</t>
        </is>
      </c>
      <c r="F58" s="10" t="inlineStr">
        <is>
          <t>Should</t>
        </is>
      </c>
      <c r="G58" s="11" t="inlineStr">
        <is>
          <t>Code Review</t>
        </is>
      </c>
      <c r="H58" s="11" t="inlineStr">
        <is>
          <t>unstarted</t>
        </is>
      </c>
      <c r="I58" s="8" t="n"/>
      <c r="J58" s="20" t="n"/>
    </row>
    <row r="59" ht="48" customHeight="1" s="5">
      <c r="A59" s="13" t="inlineStr">
        <is>
          <t>#REQ-058</t>
        </is>
      </c>
      <c r="B59" s="10" t="inlineStr">
        <is>
          <t>Pi — Fast-Path/Bridge</t>
        </is>
      </c>
      <c r="C59" s="10" t="inlineStr">
        <is>
          <t>CR-04</t>
        </is>
      </c>
      <c r="D59" s="16" t="inlineStr">
        <is>
          <t>Implementare extragere rapidă L7 (SNI/JA3) direct pe Pi exclusiv pentru căutări (lookups) în dicționare locale (O(1)) alimentate de bucla de feedback a OoB-ului. Dacă hash-ul L7 e recunoscut, decizia (DROP/Honeypot) se ia sincron, fără a mai oglindi traficul.</t>
        </is>
      </c>
      <c r="E59" s="11" t="inlineStr">
        <is>
          <t>Nou — principiu de proiectare</t>
        </is>
      </c>
      <c r="F59" s="10" t="inlineStr">
        <is>
          <t>Must</t>
        </is>
      </c>
      <c r="G59" s="11" t="n">
        <v>10.2</v>
      </c>
      <c r="H59" s="11" t="inlineStr">
        <is>
          <t>completed</t>
        </is>
      </c>
      <c r="I59" s="8" t="inlineStr">
        <is>
          <t>R.Z.</t>
        </is>
      </c>
      <c r="J59" s="20" t="n"/>
    </row>
    <row r="60" ht="72" customHeight="1" s="5">
      <c r="A60" s="13" t="inlineStr">
        <is>
          <t>#REQ-059</t>
        </is>
      </c>
      <c r="B60" s="10" t="inlineStr">
        <is>
          <t>Pi — Fast-Path/Bridge</t>
        </is>
      </c>
      <c r="C60" s="10" t="inlineStr">
        <is>
          <t>CR-06 / CR-03</t>
        </is>
      </c>
      <c r="D60" s="17" t="inlineStr">
        <is>
          <t>Implementare limitator de rată / concurență (ex: hashlimit sau hartă eBPF) dedicat exclusiv traficului clonat spre OoB, pentru prevenirea Analysis Plane Exhaustion. La atingerea plafonului de siguranță, traficul ambiguu suplimentar nu se mai clonează, ci este lăsat să treacă spre destinația reală (Fail-Open), garantând menținerea disponibilității internetului pentru utilizatorii legitimi.</t>
        </is>
      </c>
      <c r="E60" s="11" t="inlineStr">
        <is>
          <t>5.6</t>
        </is>
      </c>
      <c r="F60" s="10" t="inlineStr">
        <is>
          <t>Must</t>
        </is>
      </c>
      <c r="G60" s="11" t="n">
        <v>10.5</v>
      </c>
      <c r="H60" s="11" t="inlineStr">
        <is>
          <t>unstarted</t>
        </is>
      </c>
      <c r="I60" s="8" t="n"/>
      <c r="J60" s="20" t="n"/>
    </row>
    <row r="61" ht="72" customHeight="1" s="5">
      <c r="A61" s="13" t="inlineStr">
        <is>
          <t>#REQ-060</t>
        </is>
      </c>
      <c r="B61" s="10" t="inlineStr">
        <is>
          <t>Pi — Slow-Path</t>
        </is>
      </c>
      <c r="C61" s="10" t="inlineStr">
        <is>
          <t>CR-02 / CR-06</t>
        </is>
      </c>
      <c r="D61" s="17" t="inlineStr">
        <is>
          <t>Implementare mecanism de penalizare dinamică (Dynamic Shunning) pentru sursele care saturează recurent plafonul de oglindire. La depășirea unui prag de abuz per-IP pe canalul de investigație, sursa este adăugată automat în Blocklist-ul eBPF pentru blocare completă și imediată (XDP_DROP), eliberând resursele sistemului (Fail-Closed punctual).</t>
        </is>
      </c>
      <c r="E61" s="11" t="n">
        <v>5.6</v>
      </c>
      <c r="F61" s="10" t="inlineStr">
        <is>
          <t>Should</t>
        </is>
      </c>
      <c r="G61" s="11" t="n">
        <v>10.2</v>
      </c>
      <c r="H61" s="11" t="inlineStr">
        <is>
          <t>unstarted</t>
        </is>
      </c>
      <c r="I61" s="8" t="n"/>
      <c r="J61" s="20" t="n"/>
    </row>
    <row r="62" ht="60" customHeight="1" s="5">
      <c r="A62" s="13" t="inlineStr">
        <is>
          <t>#REQ-061</t>
        </is>
      </c>
      <c r="B62" s="10" t="inlineStr">
        <is>
          <t>Testare</t>
        </is>
      </c>
      <c r="C62" s="10" t="inlineStr">
        <is>
          <t>CR-10</t>
        </is>
      </c>
      <c r="D62" s="17" t="inlineStr">
        <is>
          <t>Adăugare scenariu de test: Analysis Plane DoS. Validarea experimentală a limitatorului de oglindire prin generarea masivă de trafic ambiguu (care evită eBPF Rate Limiting), confirmarea comutării pe PASS pentru traficul legitim (Fail-Open) și verificarea blocării ulterioare a IP-ului abuziv.</t>
        </is>
      </c>
      <c r="E62" s="10" t="inlineStr">
        <is>
          <t>Nou</t>
        </is>
      </c>
      <c r="F62" s="10" t="inlineStr">
        <is>
          <t>Must</t>
        </is>
      </c>
      <c r="G62" s="10" t="inlineStr">
        <is>
          <t>_</t>
        </is>
      </c>
      <c r="H62" s="10" t="inlineStr">
        <is>
          <t>unstarted</t>
        </is>
      </c>
      <c r="I62" s="8" t="n"/>
      <c r="J62" s="20" t="n"/>
    </row>
    <row r="63" ht="72" customHeight="1" s="5">
      <c r="A63" s="13" t="inlineStr">
        <is>
          <t>#REQ-062</t>
        </is>
      </c>
      <c r="B63" s="10" t="inlineStr">
        <is>
          <t>OoB — Analiză Pachete / Pi</t>
        </is>
      </c>
      <c r="C63" s="8" t="inlineStr">
        <is>
          <t>CR-06 / CR-03</t>
        </is>
      </c>
      <c r="D63" s="17" t="inlineStr">
        <is>
          <t>Implementare politică de 'Implicit PASS' (Fail-Open) pentru investigațiile asincrone. Deoarece traficul este clonat, lipsa unui verdict din partea OoB (cauzată de crash, backlog sau rezultat euristic neconcludent) nu va întrerupe fluxul original. Sistemul Pi va continua rutarea normală a conexiunii, aliniindu-se la cerința de disponibilitate CR-06.</t>
        </is>
      </c>
      <c r="E63" s="10" t="n">
        <v>5.6</v>
      </c>
      <c r="F63" s="10" t="inlineStr">
        <is>
          <t>Must</t>
        </is>
      </c>
      <c r="G63" s="10" t="inlineStr">
        <is>
          <t>Code Review</t>
        </is>
      </c>
      <c r="H63" s="10" t="inlineStr">
        <is>
          <t>unstarted</t>
        </is>
      </c>
      <c r="I63" s="8" t="n"/>
      <c r="J63" s="20" t="n"/>
    </row>
    <row r="64" ht="48" customHeight="1" s="5">
      <c r="A64" s="13" t="inlineStr">
        <is>
          <t>#REQ-063</t>
        </is>
      </c>
      <c r="B64" s="10" t="inlineStr">
        <is>
          <t>Reliability / Control Plane</t>
        </is>
      </c>
      <c r="C64" s="8" t="inlineStr">
        <is>
          <t>CR-06</t>
        </is>
      </c>
      <c r="D64" s="17" t="inlineStr">
        <is>
          <t>Implementare API Heartbeat între Pi și stația OoB. Dacă OoB nu răspunde la verificările de status, Pi oprește clonarea pachetelor (iptables TEE) pentru a salva lățimea de bandă (degraded mode), comutând traficul ambiguu pe forward complet (Fail-Open)</t>
        </is>
      </c>
      <c r="E64" s="10" t="inlineStr">
        <is>
          <t>7.3.1</t>
        </is>
      </c>
      <c r="F64" s="10" t="inlineStr">
        <is>
          <t>Must</t>
        </is>
      </c>
      <c r="G64" s="10" t="n">
        <v>10.5</v>
      </c>
      <c r="H64" s="10" t="inlineStr">
        <is>
          <t>unstarted</t>
        </is>
      </c>
      <c r="I64" s="8" t="n"/>
      <c r="J64" s="20" t="n"/>
    </row>
    <row r="65" ht="72" customHeight="1" s="5">
      <c r="A65" s="13" t="inlineStr">
        <is>
          <t>#REQ-064</t>
        </is>
      </c>
      <c r="B65" s="10" t="inlineStr">
        <is>
          <t>Pi — Control Plane</t>
        </is>
      </c>
      <c r="C65" s="8" t="inlineStr">
        <is>
          <t>CR-02 / CR-15</t>
        </is>
      </c>
      <c r="D65" s="17" t="inlineStr">
        <is>
          <t>Implementare endpoint REST API (ex: POST /api/v1/blocklist) pe dispozitivul Raspberry Pi pentru recepționarea deciziilor asincrone de blocare. Funcția va prelua adresa IP trimisă de stația OoB (în formatul JSON agnostic definit în #REQ-055) și o va injecta automat în harta eBPF dedicată blocklist-ului, închizând bucla de apărare (Closed-Loop Defense).</t>
        </is>
      </c>
      <c r="E65" s="10" t="inlineStr">
        <is>
          <t>6.3.2</t>
        </is>
      </c>
      <c r="F65" s="10" t="inlineStr">
        <is>
          <t>Must</t>
        </is>
      </c>
      <c r="G65" s="10" t="n">
        <v>10.2</v>
      </c>
      <c r="H65" s="10" t="inlineStr">
        <is>
          <t>unstarted</t>
        </is>
      </c>
      <c r="I65" s="8" t="n"/>
      <c r="J65" s="20" t="n"/>
    </row>
    <row r="66" ht="72" customHeight="1" s="5">
      <c r="A66" s="13" t="inlineStr">
        <is>
          <t>#REQ-065</t>
        </is>
      </c>
      <c r="B66" s="10" t="inlineStr">
        <is>
          <t>Pi — Fast-Path/Bridge / OoB — Active Defense</t>
        </is>
      </c>
      <c r="C66" s="9" t="inlineStr">
        <is>
          <t>CR-04 / CR-15</t>
        </is>
      </c>
      <c r="D66" s="17" t="inlineStr">
        <is>
          <t>Implementare logică de decizie Sincron vs. Asincron conform 4.4: pentru detecții sincrone (Fast-Path/Slow-Path, pre-conexiune) se aplică DNAT către Honeypot; pentru detecții asincrone (post-handshake, rezultate din investigația clonată pe OoB) se aplică exclusiv XDP_DROP/Active Reset — Honeypot-ul nu poate prelua retroactiv o conexiune deja stabilită.</t>
        </is>
      </c>
      <c r="E66" s="10" t="inlineStr">
        <is>
          <t>4.4</t>
        </is>
      </c>
      <c r="F66" s="10" t="inlineStr">
        <is>
          <t>Must</t>
        </is>
      </c>
      <c r="G66" s="10" t="inlineStr">
        <is>
          <t>10.3</t>
        </is>
      </c>
      <c r="H66" s="10" t="inlineStr">
        <is>
          <t>unstarted</t>
        </is>
      </c>
    </row>
    <row r="67" ht="60" customHeight="1" s="5">
      <c r="A67" s="13" t="inlineStr">
        <is>
          <t>#REQ-066</t>
        </is>
      </c>
      <c r="B67" s="10" t="inlineStr">
        <is>
          <t>Pi — Fast-Path/Bridge / OoB — Active Defense</t>
        </is>
      </c>
      <c r="C67" s="9" t="inlineStr">
        <is>
          <t>CR-02 / CR-04</t>
        </is>
      </c>
      <c r="D67" s="17" t="inlineStr">
        <is>
          <t>Implementare politică duală de terminare a conexiunilor conform 5.5: Silent Drop (XDP_DROP, fără notificare) pentru trafic volumetric/blocklist confirmat pe Fast-Path; Active TCP RST bidirecțional (executat pe OoB, la finalul unei investigații asincrone) pentru amenințări confirmate mid-sesiune.</t>
        </is>
      </c>
      <c r="E67" s="10" t="inlineStr">
        <is>
          <t>5.5</t>
        </is>
      </c>
      <c r="F67" s="10" t="inlineStr">
        <is>
          <t>Must</t>
        </is>
      </c>
      <c r="G67" s="10" t="inlineStr">
        <is>
          <t>10.1 / 10.2</t>
        </is>
      </c>
      <c r="H67" s="10" t="inlineStr">
        <is>
          <t>unstarted</t>
        </is>
      </c>
    </row>
    <row r="68" ht="60" customHeight="1" s="5">
      <c r="A68" s="13" t="inlineStr">
        <is>
          <t>#REQ-067</t>
        </is>
      </c>
      <c r="B68" s="10" t="inlineStr">
        <is>
          <t>Pi — Fast-Path/Bridge</t>
        </is>
      </c>
      <c r="C68" s="9" t="inlineStr">
        <is>
          <t>CR-02 / CR-15</t>
        </is>
      </c>
      <c r="D68" s="17" t="inlineStr">
        <is>
          <t>Implementare Analiză a Dinamicii Pachetelor (secvențialitate, mărime, inter-arrival time) direct pe Pi, în cadrul Slow-Path de bază, pe praguri statistice fixe locale — fără oglindire către OoB, pentru a evita consumul inutil de bandă pe canalul de investigație (vezi 5.6) pentru un calcul ce poate fi făcut ieftin, inline.</t>
        </is>
      </c>
      <c r="E68" s="10" t="inlineStr">
        <is>
          <t>3.2</t>
        </is>
      </c>
      <c r="F68" s="10" t="inlineStr">
        <is>
          <t>Must</t>
        </is>
      </c>
      <c r="G68" s="10" t="inlineStr">
        <is>
          <t>10.2</t>
        </is>
      </c>
      <c r="H68" s="10" t="inlineStr">
        <is>
          <t>unstarted</t>
        </is>
      </c>
    </row>
    <row r="69" ht="72" customHeight="1" s="5">
      <c r="A69" s="13" t="inlineStr">
        <is>
          <t>#REQ-068</t>
        </is>
      </c>
      <c r="B69" s="9" t="inlineStr">
        <is>
          <t>PI - Slow-Path/API</t>
        </is>
      </c>
      <c r="C69" s="9" t="inlineStr">
        <is>
          <t>TBD</t>
        </is>
      </c>
      <c r="D69" s="17" t="inlineStr">
        <is>
          <t>Implementare mecanism de "Aging" (evacuare dinamică) pentru eBPF Blocklist. Structura map-ului va include un timestamp al ultimei abateri. Componenta user-space (ips_loader) va curăța periodic (asincron) IP-urile blocate după un prag de expirare (ex. 24h) pentru a preveni epuizarea memoriei și blocarea definitivă a utilizatorilor legitimi aflați în spatele unor IP-uri dinamice.</t>
        </is>
      </c>
      <c r="E69" s="9" t="inlineStr">
        <is>
          <t>TBD</t>
        </is>
      </c>
      <c r="F69" s="10" t="inlineStr">
        <is>
          <t>Must</t>
        </is>
      </c>
      <c r="G69" s="8" t="inlineStr">
        <is>
          <t xml:space="preserve">Code Review
</t>
        </is>
      </c>
      <c r="H69" s="10" t="inlineStr">
        <is>
          <t>completed</t>
        </is>
      </c>
      <c r="I69" t="inlineStr">
        <is>
          <t>R.Z.</t>
        </is>
      </c>
    </row>
    <row r="70" ht="60" customHeight="1" s="5">
      <c r="A70" s="13" t="inlineStr">
        <is>
          <t>#REQ-069</t>
        </is>
      </c>
      <c r="B70" s="9" t="inlineStr">
        <is>
          <t>Pi — Fast-Path/Bridge</t>
        </is>
      </c>
      <c r="C70" s="9" t="inlineStr">
        <is>
          <t>TBD</t>
        </is>
      </c>
      <c r="D70" s="17" t="inlineStr">
        <is>
          <t>Implementare suport eBPF SYN Cookies (TCP State Protection) în Fast-Path. Prevenirea atacurilor de tip State Exhaustion (Low-and-Slow SYN Flood) prin calcularea și răspunsul cu cookie-uri criptografice direct din XDP, fără a aloca memorie în tabela de conntrack a kernel-ului pentru conexiunile TCP nefinalizate.</t>
        </is>
      </c>
      <c r="E70" s="9" t="inlineStr">
        <is>
          <t>TBD</t>
        </is>
      </c>
      <c r="F70" s="10" t="inlineStr">
        <is>
          <t>Must</t>
        </is>
      </c>
      <c r="G70" s="9" t="n">
        <v>10.1</v>
      </c>
      <c r="H70" s="10" t="inlineStr">
        <is>
          <t>unstarted</t>
        </is>
      </c>
    </row>
    <row r="71" ht="60" customHeight="1" s="5">
      <c r="A71" s="13" t="inlineStr">
        <is>
          <t>#REQ-070</t>
        </is>
      </c>
      <c r="B71" s="8" t="inlineStr">
        <is>
          <t>Pi — Control Plane / OoB</t>
        </is>
      </c>
      <c r="C71" s="9" t="inlineStr">
        <is>
          <t>TBD</t>
        </is>
      </c>
      <c r="D71" s="17" t="inlineStr">
        <is>
          <t>Export telemetrie și observabilitate către stack-ul OoB. Integrarea unui mecanism de export (ex. format Prometheus/JSON) în ips_loader pentru a trimite metrici de securitate și performanță (PPS evaluat, pachete aruncate, IP-uri active în blocklist/allowlist) către mediul Out-of-Band pentru vizualizare (Grafana).</t>
        </is>
      </c>
      <c r="E71" s="9" t="inlineStr">
        <is>
          <t>TBD</t>
        </is>
      </c>
      <c r="F71" s="10" t="inlineStr">
        <is>
          <t>Should</t>
        </is>
      </c>
      <c r="G71" s="9" t="inlineStr">
        <is>
          <t>Vizual</t>
        </is>
      </c>
      <c r="H71" s="10" t="inlineStr">
        <is>
          <t>unstarted</t>
        </is>
      </c>
    </row>
    <row r="72" ht="72" customHeight="1" s="5">
      <c r="A72" s="13" t="inlineStr">
        <is>
          <t>#REQ-071</t>
        </is>
      </c>
      <c r="B72" s="9" t="inlineStr">
        <is>
          <t>Pi — Fast-Path/Bridge</t>
        </is>
      </c>
      <c r="C72" s="9" t="inlineStr">
        <is>
          <t>TBD</t>
        </is>
      </c>
      <c r="D72" s="17" t="inlineStr">
        <is>
          <t>Filtrare hardware pe bază de subrețele (Geo-IP) via eBPF LPM Trie. Adăugarea unui map secundar de tip BPF_MAP_TYPE_LPM_TRIE (Longest Prefix Match) în Fast-Path, permițând blocarea blocurilor întregi de IP-uri (CIDR /16, /24) asociate amenințărilor cunoscute sau regiunilor restricționate (Geo-Blocking).</t>
        </is>
      </c>
      <c r="E72" s="9" t="inlineStr">
        <is>
          <t>TBD</t>
        </is>
      </c>
      <c r="F72" s="10" t="inlineStr">
        <is>
          <t>Should</t>
        </is>
      </c>
      <c r="G72" s="8" t="inlineStr">
        <is>
          <t>Test rutare pachete spoofed</t>
        </is>
      </c>
      <c r="H72" s="10" t="inlineStr">
        <is>
          <t>completed</t>
        </is>
      </c>
      <c r="I72" t="inlineStr">
        <is>
          <t>R.Z.</t>
        </is>
      </c>
    </row>
    <row r="73">
      <c r="A73" t="inlineStr">
        <is>
          <t>#REQ-072</t>
        </is>
      </c>
      <c r="B73" t="inlineStr">
        <is>
          <t>Pi — Fast-Path/Bridge</t>
        </is>
      </c>
      <c r="C73" t="inlineStr">
        <is>
          <t>TBD</t>
        </is>
      </c>
      <c r="D73" t="inlineStr">
        <is>
          <t>Bind L7 Protocol Parsers (TLS/DNS/HTTP) to BPF jmp_table for deep packet inspection without bypassing fast-path filters.</t>
        </is>
      </c>
      <c r="E73" t="inlineStr">
        <is>
          <t>Nou</t>
        </is>
      </c>
      <c r="F73" t="inlineStr">
        <is>
          <t>Must</t>
        </is>
      </c>
      <c r="G73" t="inlineStr">
        <is>
          <t>Code Review</t>
        </is>
      </c>
      <c r="H73" t="inlineStr">
        <is>
          <t>completed</t>
        </is>
      </c>
      <c r="I73" t="inlineStr">
        <is>
          <t>R.Z.</t>
        </is>
      </c>
    </row>
    <row r="74">
      <c r="A74" t="inlineStr">
        <is>
          <t>#REQ-073</t>
        </is>
      </c>
      <c r="B74" t="inlineStr">
        <is>
          <t>Pi — Slow-Path</t>
        </is>
      </c>
      <c r="C74" t="inlineStr">
        <is>
          <t>TBD</t>
        </is>
      </c>
      <c r="D74" t="inlineStr">
        <is>
          <t>Token Bucket Recon Tracker. Implement weighted token deductions based on port criticality for identifying network sweeps.</t>
        </is>
      </c>
      <c r="E74" t="inlineStr">
        <is>
          <t>Nou</t>
        </is>
      </c>
      <c r="F74" t="inlineStr">
        <is>
          <t>Must</t>
        </is>
      </c>
      <c r="G74" t="inlineStr">
        <is>
          <t>Code Review</t>
        </is>
      </c>
      <c r="H74" t="inlineStr">
        <is>
          <t>completed</t>
        </is>
      </c>
      <c r="I74" t="inlineStr">
        <is>
          <t>R.Z.</t>
        </is>
      </c>
    </row>
    <row r="75">
      <c r="A75" t="inlineStr">
        <is>
          <t>#REQ-074</t>
        </is>
      </c>
      <c r="B75" t="inlineStr">
        <is>
          <t>Pi — Fast-Path/Bridge</t>
        </is>
      </c>
      <c r="C75" t="inlineStr">
        <is>
          <t>TBD</t>
        </is>
      </c>
      <c r="D75" t="inlineStr">
        <is>
          <t>Fast-Path Recon Streaming. Extract un-allowlisted SYN and ICMP packets and stream them via Ring Buffer to userspace for analysis.</t>
        </is>
      </c>
      <c r="E75" t="inlineStr">
        <is>
          <t>Nou</t>
        </is>
      </c>
      <c r="F75" t="inlineStr">
        <is>
          <t>Must</t>
        </is>
      </c>
      <c r="G75" t="inlineStr">
        <is>
          <t>Code Review</t>
        </is>
      </c>
      <c r="H75" t="inlineStr">
        <is>
          <t>completed</t>
        </is>
      </c>
      <c r="I75" t="inlineStr">
        <is>
          <t>R.Z.</t>
        </is>
      </c>
    </row>
    <row r="76">
      <c r="A76" t="inlineStr">
        <is>
          <t>#REQ-075</t>
        </is>
      </c>
      <c r="B76" t="inlineStr">
        <is>
          <t>Pi — Fast-Path/Bridge</t>
        </is>
      </c>
      <c r="C76" t="inlineStr">
        <is>
          <t>TBD</t>
        </is>
      </c>
      <c r="D76" t="inlineStr">
        <is>
          <t>Anti-Spoofing (BCP38). Instantly drop packets arriving on the WAN interface that claim to have an internal RFC1918 source IP.</t>
        </is>
      </c>
      <c r="E76" t="inlineStr">
        <is>
          <t>Nou</t>
        </is>
      </c>
      <c r="F76" t="inlineStr">
        <is>
          <t>Must</t>
        </is>
      </c>
      <c r="G76" t="inlineStr">
        <is>
          <t>Code Review</t>
        </is>
      </c>
      <c r="H76" t="inlineStr">
        <is>
          <t>completed</t>
        </is>
      </c>
      <c r="I76" t="inlineStr">
        <is>
          <t>R.Z.</t>
        </is>
      </c>
    </row>
    <row r="77">
      <c r="A77" t="inlineStr">
        <is>
          <t>#REQ-076</t>
        </is>
      </c>
      <c r="B77" t="inlineStr">
        <is>
          <t>Pi — Fast-Path/Bridge</t>
        </is>
      </c>
      <c r="C77" t="inlineStr">
        <is>
          <t>TBD</t>
        </is>
      </c>
      <c r="D77" t="inlineStr">
        <is>
          <t>Malformed TCP Flag Filtering. Drop impossible or malicious TCP flag combinations (SYN+FIN, null scan, etc.) directly in XDP.</t>
        </is>
      </c>
      <c r="E77" t="inlineStr">
        <is>
          <t>Nou</t>
        </is>
      </c>
      <c r="F77" t="inlineStr">
        <is>
          <t>Must</t>
        </is>
      </c>
      <c r="G77" t="inlineStr">
        <is>
          <t>Code Review</t>
        </is>
      </c>
      <c r="H77" t="inlineStr">
        <is>
          <t>completed</t>
        </is>
      </c>
      <c r="I77" t="inlineStr">
        <is>
          <t>R.Z.</t>
        </is>
      </c>
    </row>
  </sheetData>
  <conditionalFormatting sqref="F2:F72">
    <cfRule type="cellIs" priority="2" operator="equal" dxfId="14">
      <formula>"Must"</formula>
    </cfRule>
    <cfRule type="cellIs" priority="3" operator="equal" dxfId="13">
      <formula>"Should"</formula>
    </cfRule>
    <cfRule type="cellIs" priority="4" operator="equal" dxfId="12">
      <formula>"Could"</formula>
    </cfRule>
  </conditionalFormatting>
  <conditionalFormatting sqref="H2:H509">
    <cfRule type="cellIs" priority="5" operator="equal" dxfId="14">
      <formula>"unstarted"</formula>
    </cfRule>
    <cfRule type="cellIs" priority="6" operator="equal" dxfId="13">
      <formula>"started"</formula>
    </cfRule>
    <cfRule type="cellIs" priority="7" operator="equal" dxfId="12">
      <formula>"finished"</formula>
    </cfRule>
  </conditionalFormatting>
  <dataValidations count="1">
    <dataValidation sqref="H2:H509" showDropDown="0" showInputMessage="0" showErrorMessage="0" allowBlank="0" errorTitle="Valoare invalidă" error="Alege una dintre: unstarted, started, finished" promptTitle="Status" prompt="Alege statusul: unstarted, started sau finished" type="list">
      <formula1>"unstarted,started,finished"</formula1>
      <formula2>0</formula2>
    </dataValidation>
  </dataValidations>
  <pageMargins left="0.75" right="0.75" top="1" bottom="1" header="0.511811023622047" footer="0.511811023622047"/>
  <pageSetup orientation="landscape" paperSize="9" fitToHeight="0" fitToWidth="0" horizontalDpi="300" verticalDpi="3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2026-07-09T07:30:09Z</dcterms:created>
  <dcterms:modified xmlns:dcterms="http://purl.org/dc/terms/" xmlns:xsi="http://www.w3.org/2001/XMLSchema-instance" xsi:type="dcterms:W3CDTF">2026-08-10T14:36:03Z</dcterms:modified>
  <cp:revision>0</cp:revision>
</cp:coreProperties>
</file>